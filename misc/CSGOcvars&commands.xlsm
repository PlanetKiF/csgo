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09101ACE-4DC3-4AE5-BD4C-0866F75C230F}" xr6:coauthVersionLast="46" xr6:coauthVersionMax="46" xr10:uidLastSave="{00000000-0000-0000-0000-000000000000}"/>
  <bookViews>
    <workbookView xWindow="5265" yWindow="2370" windowWidth="28965" windowHeight="16650" activeTab="2" xr2:uid="{00000000-000D-0000-FFFF-FFFF00000000}"/>
  </bookViews>
  <sheets>
    <sheet name="cvars&amp;commands" sheetId="1" r:id="rId1"/>
    <sheet name="myComments" sheetId="4" r:id="rId2"/>
    <sheet name="autoexec.cfg" sheetId="3" r:id="rId3"/>
    <sheet name="server.cfg" sheetId="6" r:id="rId4"/>
    <sheet name="gamemode_casual_server.cfg" sheetId="8" r:id="rId5"/>
    <sheet name="mapaliasse" sheetId="9" r:id="rId6"/>
  </sheets>
  <definedNames>
    <definedName name="_xlnm._FilterDatabase" localSheetId="0" hidden="1">'cvars&amp;commands'!$A$1:$AA$3153</definedName>
  </definedNames>
  <calcPr calcId="181029"/>
</workbook>
</file>

<file path=xl/calcChain.xml><?xml version="1.0" encoding="utf-8"?>
<calcChain xmlns="http://schemas.openxmlformats.org/spreadsheetml/2006/main">
  <c r="F54" i="3" l="1"/>
  <c r="F52" i="3"/>
  <c r="F46" i="3"/>
  <c r="D49" i="3"/>
  <c r="B49" i="3"/>
  <c r="D47" i="3"/>
  <c r="B47" i="3"/>
  <c r="F5" i="3"/>
  <c r="F9" i="3"/>
  <c r="F10" i="3"/>
  <c r="F11" i="3"/>
  <c r="F12" i="3"/>
  <c r="F19" i="3"/>
  <c r="F24" i="3"/>
  <c r="F28" i="3"/>
  <c r="F31" i="3"/>
  <c r="F35" i="3"/>
  <c r="F36" i="3"/>
  <c r="C30" i="3"/>
  <c r="C29" i="3"/>
  <c r="C60" i="3"/>
  <c r="D60" i="3"/>
  <c r="C61" i="3"/>
  <c r="D61" i="3"/>
  <c r="D35" i="8"/>
  <c r="D31" i="8"/>
  <c r="D20" i="8"/>
  <c r="D5" i="3"/>
  <c r="D4" i="3"/>
  <c r="D3" i="3"/>
  <c r="F3" i="3" s="1"/>
  <c r="D2" i="3"/>
  <c r="D52" i="3"/>
  <c r="D24" i="3"/>
  <c r="D28" i="3"/>
  <c r="D36" i="3"/>
  <c r="D37" i="3"/>
  <c r="D38" i="3"/>
  <c r="F38" i="3" s="1"/>
  <c r="D39" i="3"/>
  <c r="D48" i="3"/>
  <c r="F48" i="3" s="1"/>
  <c r="D56" i="3"/>
  <c r="D57" i="3"/>
  <c r="H143" i="1"/>
  <c r="D33" i="8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D34" i="8" s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D32" i="8" s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D45" i="3" s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D33" i="3" s="1"/>
  <c r="F33" i="3" s="1"/>
  <c r="H768" i="1"/>
  <c r="H769" i="1"/>
  <c r="H770" i="1"/>
  <c r="H771" i="1"/>
  <c r="H772" i="1"/>
  <c r="H773" i="1"/>
  <c r="H774" i="1"/>
  <c r="H775" i="1"/>
  <c r="H776" i="1"/>
  <c r="D22" i="8" s="1"/>
  <c r="H777" i="1"/>
  <c r="D23" i="8" s="1"/>
  <c r="H778" i="1"/>
  <c r="D24" i="8" s="1"/>
  <c r="H779" i="1"/>
  <c r="D25" i="8" s="1"/>
  <c r="H780" i="1"/>
  <c r="D26" i="8" s="1"/>
  <c r="H781" i="1"/>
  <c r="D27" i="8" s="1"/>
  <c r="H782" i="1"/>
  <c r="D28" i="8" s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D50" i="3" s="1"/>
  <c r="H853" i="1"/>
  <c r="D51" i="3" s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D53" i="3" s="1"/>
  <c r="F53" i="3" s="1"/>
  <c r="H925" i="1"/>
  <c r="H926" i="1"/>
  <c r="D59" i="3" s="1"/>
  <c r="H927" i="1"/>
  <c r="H928" i="1"/>
  <c r="H929" i="1"/>
  <c r="H930" i="1"/>
  <c r="H931" i="1"/>
  <c r="H932" i="1"/>
  <c r="D13" i="3" s="1"/>
  <c r="F13" i="3" s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D40" i="3" s="1"/>
  <c r="F40" i="3" s="1"/>
  <c r="H1074" i="1"/>
  <c r="H1075" i="1"/>
  <c r="H1076" i="1"/>
  <c r="H1077" i="1"/>
  <c r="H1078" i="1"/>
  <c r="D44" i="3" s="1"/>
  <c r="F44" i="3" s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D30" i="8" s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D13" i="6" s="1"/>
  <c r="H1366" i="1"/>
  <c r="H1367" i="1"/>
  <c r="H1368" i="1"/>
  <c r="H1369" i="1"/>
  <c r="H1370" i="1"/>
  <c r="H1371" i="1"/>
  <c r="H1372" i="1"/>
  <c r="H1373" i="1"/>
  <c r="H1374" i="1"/>
  <c r="H1375" i="1"/>
  <c r="D14" i="8" s="1"/>
  <c r="H1376" i="1"/>
  <c r="H1377" i="1"/>
  <c r="H1378" i="1"/>
  <c r="H1379" i="1"/>
  <c r="H1380" i="1"/>
  <c r="D21" i="8" s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D41" i="3" s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D19" i="8" s="1"/>
  <c r="H1495" i="1"/>
  <c r="H1496" i="1"/>
  <c r="H1497" i="1"/>
  <c r="H1498" i="1"/>
  <c r="H1499" i="1"/>
  <c r="H1500" i="1"/>
  <c r="H1501" i="1"/>
  <c r="H1502" i="1"/>
  <c r="D15" i="8" s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D29" i="8" s="1"/>
  <c r="H1544" i="1"/>
  <c r="H1545" i="1"/>
  <c r="H1546" i="1"/>
  <c r="H1547" i="1"/>
  <c r="H1548" i="1"/>
  <c r="H1549" i="1"/>
  <c r="H1550" i="1"/>
  <c r="H1551" i="1"/>
  <c r="D13" i="8" s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D15" i="3" s="1"/>
  <c r="F15" i="3" s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D37" i="8" s="1"/>
  <c r="H2419" i="1"/>
  <c r="H2420" i="1"/>
  <c r="H2421" i="1"/>
  <c r="D38" i="8" s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D25" i="3" s="1"/>
  <c r="H2479" i="1"/>
  <c r="H2480" i="1"/>
  <c r="H2481" i="1"/>
  <c r="H2482" i="1"/>
  <c r="H2483" i="1"/>
  <c r="H2484" i="1"/>
  <c r="H2485" i="1"/>
  <c r="H2486" i="1"/>
  <c r="D27" i="3" s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D20" i="3" s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D26" i="3" s="1"/>
  <c r="H2530" i="1"/>
  <c r="H2531" i="1"/>
  <c r="D16" i="8" s="1"/>
  <c r="H2532" i="1"/>
  <c r="H2533" i="1"/>
  <c r="H2534" i="1"/>
  <c r="H2535" i="1"/>
  <c r="H2536" i="1"/>
  <c r="H2537" i="1"/>
  <c r="H2538" i="1"/>
  <c r="D58" i="3" s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D21" i="3" s="1"/>
  <c r="H2636" i="1"/>
  <c r="H2637" i="1"/>
  <c r="H2638" i="1"/>
  <c r="H2639" i="1"/>
  <c r="H2640" i="1"/>
  <c r="H2641" i="1"/>
  <c r="H2642" i="1"/>
  <c r="H2643" i="1"/>
  <c r="H2644" i="1"/>
  <c r="H2645" i="1"/>
  <c r="D42" i="3" s="1"/>
  <c r="H2646" i="1"/>
  <c r="H2647" i="1"/>
  <c r="D43" i="3" s="1"/>
  <c r="F43" i="3" s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D29" i="3" s="1"/>
  <c r="H2677" i="1"/>
  <c r="H2678" i="1"/>
  <c r="H2679" i="1"/>
  <c r="H2680" i="1"/>
  <c r="H2681" i="1"/>
  <c r="H2682" i="1"/>
  <c r="H2683" i="1"/>
  <c r="H2684" i="1"/>
  <c r="H2685" i="1"/>
  <c r="H2686" i="1"/>
  <c r="H2687" i="1"/>
  <c r="D14" i="3" s="1"/>
  <c r="F14" i="3" s="1"/>
  <c r="H2688" i="1"/>
  <c r="H2689" i="1"/>
  <c r="H2690" i="1"/>
  <c r="H2691" i="1"/>
  <c r="H2692" i="1"/>
  <c r="H2693" i="1"/>
  <c r="D22" i="3" s="1"/>
  <c r="F22" i="3" s="1"/>
  <c r="H2694" i="1"/>
  <c r="H2695" i="1"/>
  <c r="H2696" i="1"/>
  <c r="H2697" i="1"/>
  <c r="D23" i="3" s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D17" i="3" s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D18" i="3" s="1"/>
  <c r="F18" i="3" s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D16" i="3" s="1"/>
  <c r="F16" i="3" s="1"/>
  <c r="H2767" i="1"/>
  <c r="H2768" i="1"/>
  <c r="D17" i="8" s="1"/>
  <c r="H2769" i="1"/>
  <c r="D18" i="8" s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D14" i="6" s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D36" i="8" s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D16" i="6" s="1"/>
  <c r="H3138" i="1"/>
  <c r="D17" i="6" s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2" i="1"/>
  <c r="F10" i="6"/>
  <c r="F15" i="6"/>
  <c r="F3" i="8"/>
  <c r="F4" i="8"/>
  <c r="F6" i="8"/>
  <c r="F10" i="8"/>
  <c r="F11" i="8"/>
  <c r="F12" i="8"/>
  <c r="F11" i="6"/>
  <c r="F20" i="8"/>
  <c r="F31" i="8"/>
  <c r="F35" i="8"/>
  <c r="F39" i="8"/>
  <c r="C16" i="8"/>
  <c r="C36" i="8"/>
  <c r="C37" i="8"/>
  <c r="C38" i="8"/>
  <c r="C14" i="8"/>
  <c r="C15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13" i="8"/>
  <c r="C59" i="3"/>
  <c r="C57" i="3"/>
  <c r="C56" i="3"/>
  <c r="C48" i="3"/>
  <c r="C45" i="3"/>
  <c r="C42" i="3"/>
  <c r="C41" i="3"/>
  <c r="C24" i="3"/>
  <c r="C25" i="3"/>
  <c r="C26" i="3"/>
  <c r="C27" i="3"/>
  <c r="C28" i="3"/>
  <c r="C23" i="3"/>
  <c r="C21" i="3"/>
  <c r="C20" i="3"/>
  <c r="C52" i="3"/>
  <c r="C17" i="3"/>
  <c r="C51" i="3"/>
  <c r="C50" i="3"/>
  <c r="H3" i="9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F7" i="3" s="1"/>
  <c r="B8" i="6"/>
  <c r="F8" i="6" s="1"/>
  <c r="E7" i="3"/>
  <c r="B8" i="8"/>
  <c r="F8" i="8" s="1"/>
  <c r="E30" i="8"/>
  <c r="C14" i="6"/>
  <c r="F12" i="6"/>
  <c r="F18" i="6"/>
  <c r="E29" i="8"/>
  <c r="F3" i="6"/>
  <c r="F4" i="6"/>
  <c r="F6" i="6"/>
  <c r="B5" i="6"/>
  <c r="F5" i="6" s="1"/>
  <c r="B2" i="6"/>
  <c r="F2" i="6" s="1"/>
  <c r="B4" i="3"/>
  <c r="F4" i="3" s="1"/>
  <c r="B2" i="3"/>
  <c r="F2" i="3" s="1"/>
  <c r="B5" i="8"/>
  <c r="F5" i="8" s="1"/>
  <c r="B2" i="8"/>
  <c r="F2" i="8" s="1"/>
  <c r="E21" i="8"/>
  <c r="E13" i="8"/>
  <c r="E9" i="8"/>
  <c r="B9" i="8"/>
  <c r="F9" i="8" s="1"/>
  <c r="E8" i="8"/>
  <c r="E7" i="8"/>
  <c r="B7" i="8"/>
  <c r="F7" i="8" s="1"/>
  <c r="E17" i="6"/>
  <c r="E16" i="6"/>
  <c r="E14" i="6"/>
  <c r="E13" i="6"/>
  <c r="E9" i="6"/>
  <c r="E8" i="6"/>
  <c r="E7" i="6"/>
  <c r="C13" i="6"/>
  <c r="C16" i="6"/>
  <c r="C17" i="6"/>
  <c r="B9" i="6"/>
  <c r="F9" i="6" s="1"/>
  <c r="B7" i="6"/>
  <c r="F7" i="6" s="1"/>
  <c r="B8" i="3"/>
  <c r="F8" i="3" s="1"/>
  <c r="B6" i="3"/>
  <c r="F6" i="3" s="1"/>
  <c r="B39" i="3"/>
  <c r="F39" i="3" s="1"/>
  <c r="B37" i="3"/>
  <c r="F49" i="3" l="1"/>
  <c r="F47" i="3"/>
  <c r="F42" i="3"/>
  <c r="F21" i="3"/>
  <c r="F50" i="3"/>
  <c r="F37" i="3"/>
  <c r="F17" i="3"/>
  <c r="F51" i="3"/>
  <c r="F29" i="3"/>
  <c r="F20" i="3"/>
  <c r="F23" i="3"/>
  <c r="F26" i="3"/>
  <c r="F41" i="3"/>
  <c r="F45" i="3"/>
  <c r="F27" i="3"/>
  <c r="F25" i="3"/>
  <c r="D30" i="3"/>
  <c r="F30" i="3" s="1"/>
  <c r="F15" i="8"/>
  <c r="F32" i="8"/>
  <c r="F24" i="8"/>
  <c r="D32" i="3"/>
  <c r="F32" i="3" s="1"/>
  <c r="F27" i="8"/>
  <c r="D34" i="3"/>
  <c r="F34" i="3" s="1"/>
  <c r="F14" i="8"/>
  <c r="F21" i="8"/>
  <c r="F23" i="8"/>
  <c r="F26" i="8"/>
  <c r="F25" i="8"/>
  <c r="F18" i="8"/>
  <c r="F34" i="8"/>
  <c r="F33" i="8"/>
  <c r="F22" i="8"/>
  <c r="F30" i="8"/>
  <c r="F16" i="8"/>
  <c r="F37" i="8"/>
  <c r="F13" i="8"/>
  <c r="F17" i="8"/>
  <c r="F28" i="8"/>
  <c r="F38" i="8"/>
  <c r="F29" i="8"/>
  <c r="F19" i="8"/>
  <c r="F36" i="8"/>
  <c r="F17" i="6"/>
  <c r="F14" i="6"/>
  <c r="F13" i="6"/>
  <c r="F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E1" authorId="0" shapeId="0" xr:uid="{D02B53B6-C91A-452F-87EB-83528EA16AF3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The original Help Text from the games console</t>
        </r>
      </text>
    </comment>
    <comment ref="F1" authorId="0" shapeId="0" xr:uid="{9D6EC4C8-6AE5-4912-AE4A-3B352B6E7534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Our comment for the command</t>
        </r>
      </text>
    </comment>
    <comment ref="G1" authorId="0" shapeId="0" xr:uid="{3208A11A-B50A-4359-B032-5DE5AD8E8423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Should the original help text be added to the commands comment?</t>
        </r>
      </text>
    </comment>
    <comment ref="H1" authorId="0" shapeId="0" xr:uid="{FF783B5E-F40D-407D-9E56-AA3BD5803BF8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If exists our comment and optionaly the original help text
else the original help text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<sst xmlns="http://schemas.openxmlformats.org/spreadsheetml/2006/main" count="14472" uniqueCount="5515">
  <si>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</si>
  <si>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</si>
  <si>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</si>
  <si>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</si>
  <si>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</si>
  <si>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</si>
  <si>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</si>
  <si>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</si>
  <si>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</si>
  <si>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</si>
  <si>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</si>
  <si>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</si>
  <si>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</si>
  <si>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</si>
  <si>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</si>
  <si>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</si>
  <si>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</si>
  <si>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</si>
  <si>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</si>
  <si>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</si>
  <si>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</si>
  <si>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</si>
  <si>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</si>
  <si>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</si>
  <si>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</si>
  <si>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</si>
  <si>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</si>
  <si>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</si>
  <si>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</si>
  <si>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</si>
  <si>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</si>
  <si>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</si>
  <si>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</si>
  <si>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</si>
  <si>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</si>
  <si>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</si>
  <si>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</si>
  <si>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</si>
  <si>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</si>
  <si>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</si>
  <si>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</si>
  <si>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</si>
  <si>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</si>
  <si>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</si>
  <si>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</si>
  <si>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</si>
  <si>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</si>
  <si>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</si>
  <si>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</si>
  <si>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</si>
  <si>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</si>
  <si>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</si>
  <si>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</si>
  <si>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</si>
  <si>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</si>
  <si>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</si>
  <si>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</si>
  <si>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</si>
  <si>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</si>
  <si>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</si>
  <si>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</si>
  <si>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</si>
  <si>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</si>
  <si>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</si>
  <si>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</si>
  <si>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</si>
  <si>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</si>
  <si>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</si>
  <si>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</si>
  <si>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</si>
  <si>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</si>
  <si>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</si>
  <si>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</si>
  <si>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</si>
  <si>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</si>
  <si>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</si>
  <si>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</si>
  <si>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</si>
  <si>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</si>
  <si>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</si>
  <si>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</si>
  <si>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</si>
  <si>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</si>
  <si>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</si>
  <si>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</si>
  <si>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</si>
  <si>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</si>
  <si>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</si>
  <si>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</si>
  <si>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</si>
  <si>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</si>
  <si>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</si>
  <si>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</si>
  <si>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</si>
  <si>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</si>
  <si>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</si>
  <si>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</si>
  <si>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</si>
  <si>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</si>
  <si>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</si>
  <si>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</si>
  <si>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</si>
  <si>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</si>
  <si>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</si>
  <si>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</si>
  <si>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</si>
  <si>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</si>
  <si>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</si>
  <si>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</si>
  <si>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</si>
  <si>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</si>
  <si>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</si>
  <si>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</si>
  <si>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</si>
  <si>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</si>
  <si>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</si>
  <si>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</si>
  <si>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</si>
  <si>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</si>
  <si>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</si>
  <si>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</si>
  <si>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</si>
  <si>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</si>
  <si>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</si>
  <si>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</si>
  <si>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</si>
  <si>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</si>
  <si>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</si>
  <si>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</si>
  <si>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</si>
  <si>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</si>
  <si>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</si>
  <si>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</si>
  <si>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</si>
  <si>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</si>
  <si>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</si>
  <si>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</si>
  <si>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</si>
  <si>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</si>
  <si>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</si>
  <si>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</si>
  <si>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</si>
  <si>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</si>
  <si>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</si>
  <si>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</si>
  <si>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</si>
  <si>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</si>
  <si>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</si>
  <si>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</si>
  <si>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</si>
  <si>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</si>
  <si>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</si>
  <si>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</si>
  <si>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</si>
  <si>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</si>
  <si>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</si>
  <si>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</si>
  <si>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</si>
  <si>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</si>
  <si>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</si>
  <si>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</si>
  <si>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</si>
  <si>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</si>
  <si>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</si>
  <si>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</si>
  <si>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</si>
  <si>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</si>
  <si>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</si>
  <si>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</si>
  <si>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</si>
  <si>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</si>
  <si>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</si>
  <si>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</si>
  <si>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</si>
  <si>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</si>
  <si>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</si>
  <si>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</si>
  <si>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</si>
  <si>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</si>
  <si>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</si>
  <si>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</si>
  <si>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</si>
  <si>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</si>
  <si>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</si>
  <si>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</si>
  <si>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</si>
  <si>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</si>
  <si>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</si>
  <si>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</si>
  <si>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</si>
  <si>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</si>
  <si>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</si>
  <si>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</si>
  <si>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</si>
  <si>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</si>
  <si>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</si>
  <si>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</si>
  <si>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</si>
  <si>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</si>
  <si>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</si>
  <si>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</si>
  <si>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</si>
  <si>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</si>
  <si>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</si>
  <si>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</si>
  <si>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</si>
  <si>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</si>
  <si>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</si>
  <si>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</si>
  <si>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</si>
  <si>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</si>
  <si>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</si>
  <si>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</si>
  <si>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</si>
  <si>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</si>
  <si>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</si>
  <si>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</si>
  <si>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</si>
  <si>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</si>
  <si>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</si>
  <si>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</si>
  <si>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</si>
  <si>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</si>
  <si>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</si>
  <si>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</si>
  <si>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</si>
  <si>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</si>
  <si>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</si>
  <si>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</si>
  <si>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</si>
  <si>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</si>
  <si>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</si>
  <si>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</si>
  <si>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</si>
  <si>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</si>
  <si>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</si>
  <si>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</si>
  <si>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</si>
  <si>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</si>
  <si>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</si>
  <si>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</si>
  <si>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</si>
  <si>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</si>
  <si>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</si>
  <si>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</si>
  <si>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</si>
  <si>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</si>
  <si>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</si>
  <si>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</si>
  <si>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</si>
  <si>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</si>
  <si>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</si>
  <si>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</si>
  <si>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</si>
  <si>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</si>
  <si>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</si>
  <si>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</si>
  <si>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</si>
  <si>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</si>
  <si>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</si>
  <si>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</si>
  <si>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</si>
  <si>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</si>
  <si>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</si>
  <si>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</si>
  <si>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</si>
  <si>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</si>
  <si>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</si>
  <si>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</si>
  <si>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</si>
  <si>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</si>
  <si>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</si>
  <si>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</si>
  <si>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</si>
  <si>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</si>
  <si>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</si>
  <si>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</si>
  <si>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</si>
  <si>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</si>
  <si>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</si>
  <si>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</si>
  <si>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</si>
  <si>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</si>
  <si>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</si>
  <si>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</si>
  <si>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</si>
  <si>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</si>
  <si>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</si>
  <si>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</si>
  <si>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</si>
  <si>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</si>
  <si>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</si>
  <si>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</si>
  <si>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</si>
  <si>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</si>
  <si>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</si>
  <si>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</si>
  <si>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</si>
  <si>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</si>
  <si>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</si>
  <si>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</si>
  <si>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</si>
  <si>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</si>
  <si>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</si>
  <si>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</si>
  <si>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</si>
  <si>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</si>
  <si>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</si>
  <si>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</si>
  <si>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</si>
  <si>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</si>
  <si>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</si>
  <si>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</si>
  <si>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</si>
  <si>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</si>
  <si>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</si>
  <si>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</si>
  <si>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</si>
  <si>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</si>
  <si>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</si>
  <si>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</si>
  <si>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</si>
  <si>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</si>
  <si>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</si>
  <si>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</si>
  <si>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</si>
  <si>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</si>
  <si>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</si>
  <si>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</si>
  <si>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</si>
  <si>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</si>
  <si>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</si>
  <si>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</si>
  <si>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</si>
  <si>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</si>
  <si>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</si>
  <si>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</si>
  <si>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</si>
  <si>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</si>
  <si>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</si>
  <si>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</si>
  <si>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</si>
  <si>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</si>
  <si>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</si>
  <si>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</si>
  <si>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</si>
  <si>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</si>
  <si>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</si>
  <si>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</si>
  <si>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</si>
  <si>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</si>
  <si>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</si>
  <si>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</si>
  <si>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</si>
  <si>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</si>
  <si>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</si>
  <si>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</si>
  <si>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</si>
  <si>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</si>
  <si>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</si>
  <si>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</si>
  <si>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</si>
  <si>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</si>
  <si>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</si>
  <si>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</si>
  <si>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</si>
  <si>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</si>
  <si>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</si>
  <si>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</si>
  <si>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</si>
  <si>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</si>
  <si>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</si>
  <si>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</si>
  <si>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</si>
  <si>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</si>
  <si>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</si>
  <si>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</si>
  <si>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</si>
  <si>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</si>
  <si>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</si>
  <si>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</si>
  <si>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</si>
  <si>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</si>
  <si>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</si>
  <si>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</si>
  <si>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</si>
  <si>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</si>
  <si>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</si>
  <si>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</si>
  <si>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</si>
  <si>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</si>
  <si>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</si>
  <si>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</si>
  <si>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</si>
  <si>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</si>
  <si>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</si>
  <si>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</si>
  <si>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</si>
  <si>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</si>
  <si>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</si>
  <si>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</si>
  <si>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</si>
  <si>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</si>
  <si>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</si>
  <si>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</si>
  <si>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</si>
  <si>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</si>
  <si>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</si>
  <si>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</si>
  <si>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</si>
  <si>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</si>
  <si>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</si>
  <si>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</si>
  <si>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</si>
  <si>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</si>
  <si>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</si>
  <si>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</si>
  <si>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</si>
  <si>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</si>
  <si>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</si>
  <si>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</si>
  <si>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</si>
  <si>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</si>
  <si>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</si>
  <si>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</si>
  <si>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</si>
  <si>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</si>
  <si>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</si>
  <si>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</si>
  <si>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</si>
  <si>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</si>
  <si>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</si>
  <si>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</si>
  <si>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</si>
  <si>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</si>
  <si>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</si>
  <si>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</si>
  <si>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</si>
  <si>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</si>
  <si>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</si>
  <si>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</si>
  <si>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</si>
  <si>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</si>
  <si>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</si>
  <si>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</si>
  <si>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</si>
  <si>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</si>
  <si>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</si>
  <si>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</si>
  <si>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</si>
  <si>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</si>
  <si>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</si>
  <si>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</si>
  <si>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</si>
  <si>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</si>
  <si>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</si>
  <si>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</si>
  <si>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</si>
  <si>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</si>
  <si>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</si>
  <si>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</si>
  <si>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</si>
  <si>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</si>
  <si>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</si>
  <si>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</si>
  <si>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</si>
  <si>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</si>
  <si>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</si>
  <si>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</si>
  <si>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</si>
  <si>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</si>
  <si>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</si>
  <si>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</si>
  <si>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</si>
  <si>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</si>
  <si>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</si>
  <si>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</si>
  <si>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</si>
  <si>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</si>
  <si>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</si>
  <si>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</si>
  <si>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</si>
  <si>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</si>
  <si>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</si>
  <si>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</si>
  <si>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</si>
  <si>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</si>
  <si>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</si>
  <si>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</si>
  <si>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</si>
  <si>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</si>
  <si>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</si>
  <si>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</si>
  <si>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</si>
  <si>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</si>
  <si>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</si>
  <si>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</si>
  <si>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</si>
  <si>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</si>
  <si>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</si>
  <si>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</si>
  <si>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</si>
  <si>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</si>
  <si>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</si>
  <si>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</si>
  <si>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</si>
  <si>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</si>
  <si>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</si>
  <si>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</si>
  <si>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</si>
  <si>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</si>
  <si>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</si>
  <si>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</si>
  <si>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</si>
  <si>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</si>
  <si>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</si>
  <si>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</si>
  <si>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</si>
  <si>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</si>
  <si>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</si>
  <si>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</si>
  <si>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</si>
  <si>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</si>
  <si>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</si>
  <si>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</si>
  <si>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</si>
  <si>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</si>
  <si>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</si>
  <si>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</si>
  <si>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</si>
  <si>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</si>
  <si>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</si>
  <si>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</si>
  <si>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</si>
  <si>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</si>
  <si>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</si>
  <si>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</si>
  <si>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</si>
  <si>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</si>
  <si>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</si>
  <si>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</si>
  <si>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</si>
  <si>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</si>
  <si>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</si>
  <si>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</si>
  <si>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</si>
  <si>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</si>
  <si>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</si>
  <si>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</si>
  <si>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</si>
  <si>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</si>
  <si>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</si>
  <si>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</si>
  <si>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</si>
  <si>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</si>
  <si>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</si>
  <si>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</si>
  <si>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</si>
  <si>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</si>
  <si>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</si>
  <si>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</si>
  <si>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</si>
  <si>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</si>
  <si>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</si>
  <si>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</si>
  <si>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</si>
  <si>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</si>
  <si>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</si>
  <si>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</si>
  <si>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</si>
  <si>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</si>
  <si>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</si>
  <si>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</si>
  <si>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</si>
  <si>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</si>
  <si>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</si>
  <si>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</si>
  <si>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</si>
  <si>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</si>
  <si>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</si>
  <si>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</si>
  <si>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</si>
  <si>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</si>
  <si>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</si>
  <si>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</si>
  <si>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</si>
  <si>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</si>
  <si>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</si>
  <si>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</si>
  <si>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</si>
  <si>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</si>
  <si>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</si>
  <si>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</si>
  <si>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</si>
  <si>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</si>
  <si>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</si>
  <si>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</si>
  <si>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</si>
  <si>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</si>
  <si>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</si>
  <si>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</si>
  <si>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</si>
  <si>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</si>
  <si>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</si>
  <si>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</si>
  <si>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</si>
  <si>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</si>
  <si>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</si>
  <si>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</si>
  <si>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</si>
  <si>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</si>
  <si>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</si>
  <si>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</si>
  <si>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</si>
  <si>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</si>
  <si>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</si>
  <si>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</si>
  <si>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</si>
  <si>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</si>
  <si>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</si>
  <si>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</si>
  <si>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</si>
  <si>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</si>
  <si>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</si>
  <si>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</si>
  <si>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</si>
  <si>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</si>
  <si>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</si>
  <si>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</si>
  <si>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</si>
  <si>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</si>
  <si>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</si>
  <si>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</si>
  <si>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</si>
  <si>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</si>
  <si>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</si>
  <si>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</si>
  <si>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</si>
  <si>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</si>
  <si>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</si>
  <si>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</si>
  <si>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</si>
  <si>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</si>
  <si>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</si>
  <si>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</si>
  <si>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</si>
  <si>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</si>
  <si>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</si>
  <si>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</si>
  <si>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</si>
  <si>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</si>
  <si>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</si>
  <si>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</si>
  <si>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</si>
  <si>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</si>
  <si>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</si>
  <si>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</si>
  <si>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</si>
  <si>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</si>
  <si>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</si>
  <si>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</si>
  <si>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</si>
  <si>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</si>
  <si>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</si>
  <si>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</si>
  <si>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</si>
  <si>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</si>
  <si>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</si>
  <si>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</si>
  <si>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</si>
  <si>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</si>
  <si>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</si>
  <si>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</si>
  <si>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</si>
  <si>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</si>
  <si>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</si>
  <si>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</si>
  <si>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</si>
  <si>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</si>
  <si>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</si>
  <si>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</si>
  <si>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</si>
  <si>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</si>
  <si>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</si>
  <si>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</si>
  <si>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</si>
  <si>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</si>
  <si>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</si>
  <si>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</si>
  <si>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</si>
  <si>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</si>
  <si>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</si>
  <si>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</si>
  <si>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</si>
  <si>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</si>
  <si>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</si>
  <si>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</si>
  <si>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</si>
  <si>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</si>
  <si>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</si>
  <si>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</si>
  <si>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</si>
  <si>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</si>
  <si>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</si>
  <si>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</si>
  <si>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</si>
  <si>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</si>
  <si>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</si>
  <si>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</si>
  <si>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</si>
  <si>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</si>
  <si>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</si>
  <si>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</si>
  <si>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</si>
  <si>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</si>
  <si>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</si>
  <si>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</si>
  <si>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</si>
  <si>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</si>
  <si>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</si>
  <si>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</si>
  <si>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</si>
  <si>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</si>
  <si>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</si>
  <si>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</si>
  <si>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</si>
  <si>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</si>
  <si>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</si>
  <si>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</si>
  <si>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</si>
  <si>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</si>
  <si>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</si>
  <si>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</si>
  <si>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</si>
  <si>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</si>
  <si>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</si>
  <si>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</si>
  <si>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</si>
  <si>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</si>
  <si>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</si>
  <si>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</si>
  <si>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</si>
  <si>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</si>
  <si>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</si>
  <si>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</si>
  <si>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</si>
  <si>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</si>
  <si>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</si>
  <si>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</si>
  <si>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</si>
  <si>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</si>
  <si>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</si>
  <si>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</si>
  <si>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</si>
  <si>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</si>
  <si>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</si>
  <si>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</si>
  <si>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</si>
  <si>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</si>
  <si>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</si>
  <si>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</si>
  <si>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</si>
  <si>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</si>
  <si>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</si>
  <si>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</si>
  <si>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</si>
  <si>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</si>
  <si>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</si>
  <si>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</si>
  <si>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</si>
  <si>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</si>
  <si>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</si>
  <si>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</si>
  <si>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</si>
  <si>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</si>
  <si>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</si>
  <si>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</si>
  <si>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</si>
  <si>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</si>
  <si>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</si>
  <si>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</si>
  <si>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</si>
  <si>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</si>
  <si>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</si>
  <si>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</si>
  <si>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</si>
  <si>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</si>
  <si>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</si>
  <si>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</si>
  <si>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</si>
  <si>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</si>
  <si>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</si>
  <si>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</si>
  <si>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</si>
  <si>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</si>
  <si>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</si>
  <si>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</si>
  <si>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</si>
  <si>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</si>
  <si>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</si>
  <si>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</si>
  <si>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</si>
  <si>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</si>
  <si>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</si>
  <si>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</si>
  <si>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</si>
  <si>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</si>
  <si>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</si>
  <si>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</si>
  <si>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</si>
  <si>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</si>
  <si>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</si>
  <si>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</si>
  <si>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</si>
  <si>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</si>
  <si>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</si>
  <si>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</si>
  <si>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</si>
  <si>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</si>
  <si>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</si>
  <si>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</si>
  <si>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</si>
  <si>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</si>
  <si>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</si>
  <si>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</si>
  <si>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</si>
  <si>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</si>
  <si>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</si>
  <si>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</si>
  <si>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</si>
  <si>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</si>
  <si>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</si>
  <si>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</si>
  <si>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</si>
  <si>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</si>
  <si>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</si>
  <si>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</si>
  <si>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</si>
  <si>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</si>
  <si>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</si>
  <si>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</si>
  <si>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</si>
  <si>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</si>
  <si>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</si>
  <si>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</si>
  <si>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</si>
  <si>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</si>
  <si>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</si>
  <si>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</si>
  <si>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</si>
  <si>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</si>
  <si>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</si>
  <si>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</si>
  <si>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</si>
  <si>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</si>
  <si>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</si>
  <si>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</si>
  <si>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</si>
  <si>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</si>
  <si>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</si>
  <si>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</si>
  <si>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</si>
  <si>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</si>
  <si>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</si>
  <si>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</si>
  <si>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</si>
  <si>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</si>
  <si>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</si>
  <si>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</si>
  <si>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</si>
  <si>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</si>
  <si>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</si>
  <si>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</si>
  <si>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</si>
  <si>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</si>
  <si>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</si>
  <si>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</si>
  <si>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</si>
  <si>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</si>
  <si>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</si>
  <si>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</si>
  <si>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</si>
  <si>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</si>
  <si>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</si>
  <si>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</si>
  <si>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</si>
  <si>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</si>
  <si>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</si>
  <si>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</si>
  <si>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</si>
  <si>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</si>
  <si>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</si>
  <si>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</si>
  <si>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</si>
  <si>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</si>
  <si>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</si>
  <si>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</si>
  <si>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</si>
  <si>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</si>
  <si>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</si>
  <si>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</si>
  <si>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</si>
  <si>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</si>
  <si>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</si>
  <si>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</si>
  <si>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</si>
  <si>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</si>
  <si>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</si>
  <si>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</si>
  <si>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</si>
  <si>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</si>
  <si>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</si>
  <si>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</si>
  <si>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</si>
  <si>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</si>
  <si>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</si>
  <si>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</si>
  <si>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</si>
  <si>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</si>
  <si>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</si>
  <si>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</si>
  <si>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</si>
  <si>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</si>
  <si>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</si>
  <si>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</si>
  <si>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</si>
  <si>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</si>
  <si>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</si>
  <si>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</si>
  <si>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</si>
  <si>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</si>
  <si>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</si>
  <si>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</si>
  <si>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</si>
  <si>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</si>
  <si>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</si>
  <si>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</si>
  <si>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</si>
  <si>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</si>
  <si>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</si>
  <si>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</si>
  <si>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</si>
  <si>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</si>
  <si>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</si>
  <si>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</si>
  <si>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</si>
  <si>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</si>
  <si>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</si>
  <si>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</si>
  <si>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</si>
  <si>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</si>
  <si>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</si>
  <si>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</si>
  <si>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</si>
  <si>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</si>
  <si>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</si>
  <si>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</si>
  <si>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</si>
  <si>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</si>
  <si>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</si>
  <si>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</si>
  <si>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</si>
  <si>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</si>
  <si>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</si>
  <si>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</si>
  <si>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</si>
  <si>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</si>
  <si>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</si>
  <si>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</si>
  <si>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</si>
  <si>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</si>
  <si>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</si>
  <si>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</si>
  <si>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</si>
  <si>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</si>
  <si>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</si>
  <si>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</si>
  <si>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</si>
  <si>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</si>
  <si>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</si>
  <si>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</si>
  <si>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</si>
  <si>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</si>
  <si>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</si>
  <si>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</si>
  <si>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</si>
  <si>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</si>
  <si>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</si>
  <si>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</si>
  <si>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</si>
  <si>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</si>
  <si>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</si>
  <si>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</si>
  <si>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</si>
  <si>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</si>
  <si>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</si>
  <si>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</si>
  <si>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</si>
  <si>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</si>
  <si>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</si>
  <si>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</si>
  <si>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</si>
  <si>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</si>
  <si>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</si>
  <si>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</si>
  <si>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</si>
  <si>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</si>
  <si>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</si>
  <si>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</si>
  <si>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</si>
  <si>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</si>
  <si>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</si>
  <si>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</si>
  <si>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</si>
  <si>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</si>
  <si>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</si>
  <si>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</si>
  <si>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</si>
  <si>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</si>
  <si>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</si>
  <si>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</si>
  <si>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</si>
  <si>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</si>
  <si>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</si>
  <si>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</si>
  <si>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</si>
  <si>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</si>
  <si>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</si>
  <si>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</si>
  <si>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</si>
  <si>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</si>
  <si>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</si>
  <si>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</si>
  <si>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</si>
  <si>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</si>
  <si>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</si>
  <si>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</si>
  <si>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</si>
  <si>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</si>
  <si>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</si>
  <si>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</si>
  <si>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</si>
  <si>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</si>
  <si>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</si>
  <si>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</si>
  <si>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</si>
  <si>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</si>
  <si>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</si>
  <si>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</si>
  <si>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</si>
  <si>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</si>
  <si>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</si>
  <si>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</si>
  <si>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</si>
  <si>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</si>
  <si>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</si>
  <si>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</si>
  <si>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</si>
  <si>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</si>
  <si>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</si>
  <si>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</si>
  <si>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</si>
  <si>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</si>
  <si>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</si>
  <si>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</si>
  <si>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</si>
  <si>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</si>
  <si>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</si>
  <si>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</si>
  <si>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</si>
  <si>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</si>
  <si>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</si>
  <si>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</si>
  <si>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</si>
  <si>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</si>
  <si>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</si>
  <si>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</si>
  <si>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</si>
  <si>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</si>
  <si>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</si>
  <si>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</si>
  <si>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</si>
  <si>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</si>
  <si>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</si>
  <si>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</si>
  <si>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</si>
  <si>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</si>
  <si>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</si>
  <si>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</si>
  <si>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</si>
  <si>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</si>
  <si>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</si>
  <si>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</si>
  <si>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</si>
  <si>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</si>
  <si>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</si>
  <si>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</si>
  <si>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</si>
  <si>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</si>
  <si>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</si>
  <si>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</si>
  <si>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</si>
  <si>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</si>
  <si>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</si>
  <si>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</si>
  <si>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</si>
  <si>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</si>
  <si>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</si>
  <si>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</si>
  <si>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</si>
  <si>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</si>
  <si>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</si>
  <si>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</si>
  <si>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</si>
  <si>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</si>
  <si>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</si>
  <si>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</si>
  <si>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</si>
  <si>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</si>
  <si>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</si>
  <si>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</si>
  <si>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</si>
  <si>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</si>
  <si>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</si>
  <si>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</si>
  <si>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</si>
  <si>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</si>
  <si>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</si>
  <si>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</si>
  <si>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</si>
  <si>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</si>
  <si>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</si>
  <si>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</si>
  <si>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</si>
  <si>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</si>
  <si>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</si>
  <si>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</si>
  <si>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</si>
  <si>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</si>
  <si>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</si>
  <si>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</si>
  <si>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</si>
  <si>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</si>
  <si>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</si>
  <si>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</si>
  <si>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</si>
  <si>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</si>
  <si>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</si>
  <si>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</si>
  <si>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</si>
  <si>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</si>
  <si>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</si>
  <si>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</si>
  <si>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</si>
  <si>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</si>
  <si>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</si>
  <si>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</si>
  <si>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</si>
  <si>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</si>
  <si>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</si>
  <si>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</si>
  <si>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</si>
  <si>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</si>
  <si>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</si>
  <si>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</si>
  <si>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</si>
  <si>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</si>
  <si>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</si>
  <si>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</si>
  <si>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</si>
  <si>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</si>
  <si>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</si>
  <si>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</si>
  <si>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</si>
  <si>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</si>
  <si>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</si>
  <si>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</si>
  <si>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</si>
  <si>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</si>
  <si>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</si>
  <si>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</si>
  <si>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</si>
  <si>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</si>
  <si>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</si>
  <si>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</si>
  <si>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</si>
  <si>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</si>
  <si>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</si>
  <si>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</si>
  <si>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</si>
  <si>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</si>
  <si>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</si>
  <si>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</si>
  <si>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</si>
  <si>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</si>
  <si>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</si>
  <si>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</si>
  <si>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</si>
  <si>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</si>
  <si>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</si>
  <si>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</si>
  <si>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</si>
  <si>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</si>
  <si>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</si>
  <si>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</si>
  <si>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</si>
  <si>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</si>
  <si>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</si>
  <si>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</si>
  <si>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</si>
  <si>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</si>
  <si>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</si>
  <si>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</si>
  <si>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</si>
  <si>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</si>
  <si>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</si>
  <si>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</si>
  <si>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</si>
  <si>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</si>
  <si>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</si>
  <si>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</si>
  <si>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</si>
  <si>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</si>
  <si>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</si>
  <si>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</si>
  <si>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</si>
  <si>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</si>
  <si>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</si>
  <si>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</si>
  <si>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</si>
  <si>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</si>
  <si>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</si>
  <si>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</si>
  <si>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</si>
  <si>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</si>
  <si>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</si>
  <si>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</si>
  <si>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</si>
  <si>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</si>
  <si>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</si>
  <si>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</si>
  <si>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</si>
  <si>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</si>
  <si>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</si>
  <si>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</si>
  <si>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</si>
  <si>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</si>
  <si>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</si>
  <si>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</si>
  <si>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</si>
  <si>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</si>
  <si>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</si>
  <si>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</si>
  <si>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</si>
  <si>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</si>
  <si>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</si>
  <si>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</si>
  <si>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</si>
  <si>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</si>
  <si>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</si>
  <si>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</si>
  <si>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</si>
  <si>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</si>
  <si>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</si>
  <si>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</si>
  <si>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</si>
  <si>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</si>
  <si>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</si>
  <si>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</si>
  <si>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</si>
  <si>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</si>
  <si>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</si>
  <si>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</si>
  <si>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</si>
  <si>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</si>
  <si>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</si>
  <si>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</si>
  <si>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</si>
  <si>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</si>
  <si>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</si>
  <si>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</si>
  <si>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</si>
  <si>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</si>
  <si>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</si>
  <si>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</si>
  <si>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</si>
  <si>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</si>
  <si>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</si>
  <si>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</si>
  <si>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</si>
  <si>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</si>
  <si>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</si>
  <si>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</si>
  <si>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</si>
  <si>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</si>
  <si>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</si>
  <si>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</si>
  <si>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</si>
  <si>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</si>
  <si>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</si>
  <si>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</si>
  <si>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</si>
  <si>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</si>
  <si>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</si>
  <si>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</si>
  <si>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</si>
  <si>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</si>
  <si>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</si>
  <si>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</si>
  <si>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</si>
  <si>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</si>
  <si>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</si>
  <si>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</si>
  <si>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</si>
  <si>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</si>
  <si>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</si>
  <si>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</si>
  <si>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</si>
  <si>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</si>
  <si>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</si>
  <si>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</si>
  <si>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</si>
  <si>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</si>
  <si>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</si>
  <si>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</si>
  <si>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</si>
  <si>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</si>
  <si>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</si>
  <si>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</si>
  <si>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</si>
  <si>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</si>
  <si>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</si>
  <si>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</si>
  <si>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</si>
  <si>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</si>
  <si>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</si>
  <si>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</si>
  <si>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</si>
  <si>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</si>
  <si>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</si>
  <si>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</si>
  <si>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</si>
  <si>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</si>
  <si>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</si>
  <si>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</si>
  <si>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</si>
  <si>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</si>
  <si>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</si>
  <si>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</si>
  <si>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</si>
  <si>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</si>
  <si>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</si>
  <si>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</si>
  <si>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</si>
  <si>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</si>
  <si>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</si>
  <si>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</si>
  <si>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</si>
  <si>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</si>
  <si>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</si>
  <si>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</si>
  <si>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</si>
  <si>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</si>
  <si>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</si>
  <si>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</si>
  <si>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</si>
  <si>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</si>
  <si>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</si>
  <si>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</si>
  <si>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</si>
  <si>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</si>
  <si>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</si>
  <si>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</si>
  <si>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</si>
  <si>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</si>
  <si>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</si>
  <si>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</si>
  <si>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</si>
  <si>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</si>
  <si>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</si>
  <si>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</si>
  <si>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</si>
  <si>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</si>
  <si>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</si>
  <si>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</si>
  <si>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</si>
  <si>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</si>
  <si>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</si>
  <si>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</si>
  <si>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</si>
  <si>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</si>
  <si>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</si>
  <si>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</si>
  <si>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</si>
  <si>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</si>
  <si>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</si>
  <si>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</si>
  <si>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</si>
  <si>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</si>
  <si>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</si>
  <si>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</si>
  <si>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</si>
  <si>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</si>
  <si>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</si>
  <si>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</si>
  <si>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</si>
  <si>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</si>
  <si>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</si>
  <si>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</si>
  <si>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</si>
  <si>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</si>
  <si>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</si>
  <si>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</si>
  <si>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</si>
  <si>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</si>
  <si>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</si>
  <si>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</si>
  <si>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</si>
  <si>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</si>
  <si>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</si>
  <si>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</si>
  <si>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</si>
  <si>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</si>
  <si>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</si>
  <si>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</si>
  <si>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</si>
  <si>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</si>
  <si>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</si>
  <si>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</si>
  <si>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</si>
  <si>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</si>
  <si>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</si>
  <si>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</si>
  <si>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</si>
  <si>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</si>
  <si>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</si>
  <si>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</si>
  <si>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</si>
  <si>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</si>
  <si>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</si>
  <si>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</si>
  <si>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</si>
  <si>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</si>
  <si>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</si>
  <si>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</si>
  <si>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</si>
  <si>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</si>
  <si>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</si>
  <si>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</si>
  <si>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</si>
  <si>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</si>
  <si>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</si>
  <si>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</si>
  <si>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</si>
  <si>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</si>
  <si>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</si>
  <si>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</si>
  <si>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</si>
  <si>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</si>
  <si>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</si>
  <si>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</si>
  <si>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</si>
  <si>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</si>
  <si>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</si>
  <si>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</si>
  <si>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</si>
  <si>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</si>
  <si>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</si>
  <si>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</si>
  <si>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</si>
  <si>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</si>
  <si>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</si>
  <si>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</si>
  <si>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</si>
  <si>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</si>
  <si>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</si>
  <si>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</si>
  <si>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</si>
  <si>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</si>
  <si>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</si>
  <si>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</si>
  <si>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</si>
  <si>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</si>
  <si>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</si>
  <si>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</si>
  <si>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</si>
  <si>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</si>
  <si>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</si>
  <si>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</si>
  <si>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</si>
  <si>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</si>
  <si>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</si>
  <si>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</si>
  <si>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</si>
  <si>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</si>
  <si>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</si>
  <si>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</si>
  <si>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</si>
  <si>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</si>
  <si>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</si>
  <si>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</si>
  <si>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</si>
  <si>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</si>
  <si>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</si>
  <si>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</si>
  <si>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</si>
  <si>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</si>
  <si>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</si>
  <si>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</si>
  <si>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</si>
  <si>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</si>
  <si>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</si>
  <si>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</si>
  <si>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</si>
  <si>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</si>
  <si>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</si>
  <si>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</si>
  <si>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</si>
  <si>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</si>
  <si>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</si>
  <si>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</si>
  <si>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</si>
  <si>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</si>
  <si>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</si>
  <si>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</si>
  <si>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</si>
  <si>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</si>
  <si>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</si>
  <si>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</si>
  <si>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</si>
  <si>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</si>
  <si>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</si>
  <si>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</si>
  <si>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</si>
  <si>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</si>
  <si>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</si>
  <si>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</si>
  <si>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</si>
  <si>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</si>
  <si>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</si>
  <si>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</si>
  <si>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</si>
  <si>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</si>
  <si>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</si>
  <si>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</si>
  <si>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</si>
  <si>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</si>
  <si>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</si>
  <si>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</si>
  <si>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</si>
  <si>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</si>
  <si>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</si>
  <si>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</si>
  <si>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</si>
  <si>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</si>
  <si>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</si>
  <si>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</si>
  <si>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</si>
  <si>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</si>
  <si>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</si>
  <si>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</si>
  <si>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</si>
  <si>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</si>
  <si>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</si>
  <si>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</si>
  <si>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</si>
  <si>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</si>
  <si>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</si>
  <si>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</si>
  <si>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</si>
  <si>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</si>
  <si>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</si>
  <si>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</si>
  <si>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</si>
  <si>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</si>
  <si>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</si>
  <si>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</si>
  <si>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</si>
  <si>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</si>
  <si>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</si>
  <si>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</si>
  <si>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</si>
  <si>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</si>
  <si>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</si>
  <si>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</si>
  <si>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</si>
  <si>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</si>
  <si>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</si>
  <si>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</si>
  <si>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</si>
  <si>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</si>
  <si>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</si>
  <si>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</si>
  <si>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</si>
  <si>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</si>
  <si>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</si>
  <si>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</si>
  <si>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</si>
  <si>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</si>
  <si>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</si>
  <si>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</si>
  <si>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</si>
  <si>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</si>
  <si>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</si>
  <si>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</si>
  <si>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</si>
  <si>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</si>
  <si>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</si>
  <si>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</si>
  <si>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</si>
  <si>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</si>
  <si>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</si>
  <si>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</si>
  <si>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</si>
  <si>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</si>
  <si>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</si>
  <si>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</si>
  <si>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</si>
  <si>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</si>
  <si>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</si>
  <si>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</si>
  <si>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</si>
  <si>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</si>
  <si>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</si>
  <si>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</si>
  <si>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</si>
  <si>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</si>
  <si>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</si>
  <si>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</si>
  <si>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</si>
  <si>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</si>
  <si>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</si>
  <si>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</si>
  <si>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</si>
  <si>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</si>
  <si>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</si>
  <si>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</si>
  <si>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</si>
  <si>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</si>
  <si>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</si>
  <si>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</si>
  <si>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</si>
  <si>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</si>
  <si>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</si>
  <si>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</si>
  <si>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</si>
  <si>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</si>
  <si>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</si>
  <si>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</si>
  <si>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</si>
  <si>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</si>
  <si>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</si>
  <si>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</si>
  <si>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</si>
  <si>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</si>
  <si>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</si>
  <si>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</si>
  <si>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</si>
  <si>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</si>
  <si>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</si>
  <si>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</si>
  <si>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</si>
  <si>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</si>
  <si>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</si>
  <si>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</si>
  <si>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</si>
  <si>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</si>
  <si>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</si>
  <si>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</si>
  <si>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</si>
  <si>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</si>
  <si>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</si>
  <si>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</si>
  <si>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</si>
  <si>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</si>
  <si>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</si>
  <si>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</si>
  <si>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</si>
  <si>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</si>
  <si>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</si>
  <si>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</si>
  <si>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</si>
  <si>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</si>
  <si>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</si>
  <si>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</si>
  <si>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</si>
  <si>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</si>
  <si>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</si>
  <si>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</si>
  <si>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</si>
  <si>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</si>
  <si>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</si>
  <si>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</si>
  <si>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</si>
  <si>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</si>
  <si>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</si>
  <si>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</si>
  <si>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</si>
  <si>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</si>
  <si>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</si>
  <si>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</si>
  <si>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</si>
  <si>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</si>
  <si>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</si>
  <si>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</si>
  <si>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</si>
  <si>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</si>
  <si>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</si>
  <si>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</si>
  <si>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</si>
  <si>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</si>
  <si>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</si>
  <si>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</si>
  <si>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</si>
  <si>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</si>
  <si>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</si>
  <si>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</si>
  <si>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</si>
  <si>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</si>
  <si>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</si>
  <si>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</si>
  <si>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</si>
  <si>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</si>
  <si>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</si>
  <si>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</si>
  <si>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</si>
  <si>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</si>
  <si>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</si>
  <si>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</si>
  <si>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</si>
  <si>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</si>
  <si>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</si>
  <si>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</si>
  <si>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</si>
  <si>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</si>
  <si>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</si>
  <si>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</si>
  <si>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</si>
  <si>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</si>
  <si>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</si>
  <si>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</si>
  <si>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</si>
  <si>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</si>
  <si>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</si>
  <si>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</si>
  <si>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</si>
  <si>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</si>
  <si>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</si>
  <si>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</si>
  <si>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</si>
  <si>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</si>
  <si>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</si>
  <si>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</si>
  <si>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</si>
  <si>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</si>
  <si>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</si>
  <si>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</si>
  <si>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</si>
  <si>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</si>
  <si>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</si>
  <si>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</si>
  <si>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</si>
  <si>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</si>
  <si>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</si>
  <si>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</si>
  <si>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</si>
  <si>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</si>
  <si>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</si>
  <si>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</si>
  <si>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</si>
  <si>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</si>
  <si>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</si>
  <si>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</si>
  <si>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</si>
  <si>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</si>
  <si>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</si>
  <si>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</si>
  <si>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</si>
  <si>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</si>
  <si>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</si>
  <si>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</si>
  <si>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</si>
  <si>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</si>
  <si>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</si>
  <si>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</si>
  <si>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</si>
  <si>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</si>
  <si>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</si>
  <si>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</si>
  <si>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</si>
  <si>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</si>
  <si>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</si>
  <si>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</si>
  <si>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</si>
  <si>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</si>
  <si>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</si>
  <si>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</si>
  <si>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</si>
  <si>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</si>
  <si>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</si>
  <si>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</si>
  <si>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</si>
  <si>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</si>
  <si>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</si>
  <si>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</si>
  <si>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</si>
  <si>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</si>
  <si>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</si>
  <si>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</si>
  <si>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</si>
  <si>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</si>
  <si>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</si>
  <si>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</si>
  <si>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</si>
  <si>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</si>
  <si>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</si>
  <si>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</si>
  <si>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</si>
  <si>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</si>
  <si>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</si>
  <si>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</si>
  <si>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</si>
  <si>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</si>
  <si>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</si>
  <si>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</si>
  <si>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</si>
  <si>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</si>
  <si>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</si>
  <si>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</si>
  <si>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</si>
  <si>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</si>
  <si>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</si>
  <si>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</si>
  <si>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</si>
  <si>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</si>
  <si>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</si>
  <si>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</si>
  <si>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</si>
  <si>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</si>
  <si>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</si>
  <si>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</si>
  <si>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</si>
  <si>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</si>
  <si>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</si>
  <si>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</si>
  <si>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</si>
  <si>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</si>
  <si>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</si>
  <si>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</si>
  <si>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</si>
  <si>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</si>
  <si>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</si>
  <si>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</si>
  <si>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</si>
  <si>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</si>
  <si>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</si>
  <si>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</si>
  <si>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</si>
  <si>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</si>
  <si>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</si>
  <si>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</si>
  <si>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</si>
  <si>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</si>
  <si>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</si>
  <si>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</si>
  <si>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</si>
  <si>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</si>
  <si>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</si>
  <si>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</si>
  <si>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</si>
  <si>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</si>
  <si>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</si>
  <si>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</si>
  <si>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</si>
  <si>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</si>
  <si>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</si>
  <si>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</si>
  <si>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</si>
  <si>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</si>
  <si>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</si>
  <si>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</si>
  <si>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</si>
  <si>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</si>
  <si>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</si>
  <si>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</si>
  <si>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</si>
  <si>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</si>
  <si>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</si>
  <si>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</si>
  <si>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</si>
  <si>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</si>
  <si>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</si>
  <si>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</si>
  <si>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</si>
  <si>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</si>
  <si>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</si>
  <si>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</si>
  <si>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</si>
  <si>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</si>
  <si>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</si>
  <si>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</si>
  <si>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</si>
  <si>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</si>
  <si>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</si>
  <si>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</si>
  <si>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</si>
  <si>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</si>
  <si>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</si>
  <si>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</si>
  <si>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</si>
  <si>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</si>
  <si>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</si>
  <si>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</si>
  <si>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</si>
  <si>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</si>
  <si>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</si>
  <si>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</si>
  <si>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</si>
  <si>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</si>
  <si>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</si>
  <si>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</si>
  <si>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</si>
  <si>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</si>
  <si>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</si>
  <si>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</si>
  <si>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</si>
  <si>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</si>
  <si>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</si>
  <si>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</si>
  <si>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</si>
  <si>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</si>
  <si>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</si>
  <si>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</si>
  <si>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</si>
  <si>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</si>
  <si>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</si>
  <si>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</si>
  <si>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</si>
  <si>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</si>
  <si>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</si>
  <si>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</si>
  <si>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</si>
  <si>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</si>
  <si>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</si>
  <si>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</si>
  <si>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</si>
  <si>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</si>
  <si>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</si>
  <si>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</si>
  <si>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</si>
  <si>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</si>
  <si>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</si>
  <si>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</si>
  <si>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</si>
  <si>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</si>
  <si>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</si>
  <si>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</si>
  <si>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</si>
  <si>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</si>
  <si>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</si>
  <si>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</si>
  <si>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</si>
  <si>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</si>
  <si>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</si>
  <si>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</si>
  <si>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</si>
  <si>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</si>
  <si>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</si>
  <si>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</si>
  <si>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</si>
  <si>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</si>
  <si>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</si>
  <si>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</si>
  <si>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</si>
  <si>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</si>
  <si>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</si>
  <si>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</si>
  <si>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</si>
  <si>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</si>
  <si>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</si>
  <si>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</si>
  <si>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</si>
  <si>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</si>
  <si>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</si>
  <si>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</si>
  <si>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</si>
  <si>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</si>
  <si>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</si>
  <si>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</si>
  <si>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</si>
  <si>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</si>
  <si>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</si>
  <si>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</si>
  <si>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</si>
  <si>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</si>
  <si>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</si>
  <si>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</si>
  <si>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</si>
  <si>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</si>
  <si>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</si>
  <si>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</si>
  <si>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</si>
  <si>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</si>
  <si>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</si>
  <si>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</si>
  <si>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</si>
  <si>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</si>
  <si>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</si>
  <si>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</si>
  <si>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</si>
  <si>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</si>
  <si>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</si>
  <si>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</si>
  <si>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</si>
  <si>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</si>
  <si>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</si>
  <si>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</si>
  <si>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</si>
  <si>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</si>
  <si>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</si>
  <si>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</si>
  <si>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</si>
  <si>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</si>
  <si>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</si>
  <si>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</si>
  <si>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</si>
  <si>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</si>
  <si>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</si>
  <si>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</si>
  <si>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</si>
  <si>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</si>
  <si>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</si>
  <si>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</si>
  <si>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</si>
  <si>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</si>
  <si>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</si>
  <si>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</si>
  <si>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</si>
  <si>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</si>
  <si>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</si>
  <si>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</si>
  <si>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</si>
  <si>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</si>
  <si>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</si>
  <si>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</si>
  <si>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</si>
  <si>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</si>
  <si>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</si>
  <si>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</si>
  <si>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</si>
  <si>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</si>
  <si>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</si>
  <si>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</si>
  <si>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</si>
  <si>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</si>
  <si>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</si>
  <si>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</si>
  <si>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</si>
  <si>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</si>
  <si>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</si>
  <si>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</si>
  <si>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</si>
  <si>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</si>
  <si>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</si>
  <si>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</si>
  <si>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</si>
  <si>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</si>
  <si>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</si>
  <si>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</si>
  <si>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</si>
  <si>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</si>
  <si>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</si>
  <si>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</si>
  <si>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</si>
  <si>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</si>
  <si>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</si>
  <si>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</si>
  <si>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</si>
  <si>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</si>
  <si>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</si>
  <si>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</si>
  <si>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</si>
  <si>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</si>
  <si>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</si>
  <si>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</si>
  <si>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</si>
  <si>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</si>
  <si>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</si>
  <si>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</si>
  <si>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</si>
  <si>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</si>
  <si>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</si>
  <si>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</si>
  <si>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</si>
  <si>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</si>
  <si>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</si>
  <si>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</si>
  <si>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</si>
  <si>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</si>
  <si>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</si>
  <si>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</si>
  <si>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</si>
  <si>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</si>
  <si>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</si>
  <si>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</si>
  <si>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</si>
  <si>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</si>
  <si>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</si>
  <si>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</si>
  <si>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</si>
  <si>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</si>
  <si>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</si>
  <si>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</si>
  <si>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</si>
  <si>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</si>
  <si>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</si>
  <si>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</si>
  <si>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</si>
  <si>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</si>
  <si>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</si>
  <si>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</si>
  <si>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</si>
  <si>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</si>
  <si>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</si>
  <si>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</si>
  <si>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</si>
  <si>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</si>
  <si>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</si>
  <si>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</si>
  <si>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</si>
  <si>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</si>
  <si>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</si>
  <si>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</si>
  <si>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</si>
  <si>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</si>
  <si>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</si>
  <si>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</si>
  <si>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</si>
  <si>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</si>
  <si>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</si>
  <si>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</si>
  <si>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</si>
  <si>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</si>
  <si>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</si>
  <si>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</si>
  <si>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</si>
  <si>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</si>
  <si>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</si>
  <si>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</si>
  <si>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</si>
  <si>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</si>
  <si>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</si>
  <si>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</si>
  <si>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</si>
  <si>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</si>
  <si>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</si>
  <si>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</si>
  <si>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</si>
  <si>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</si>
  <si>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</si>
  <si>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</si>
  <si>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</si>
  <si>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</si>
  <si>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</si>
  <si>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</si>
  <si>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</si>
  <si>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</si>
  <si>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</si>
  <si>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</si>
  <si>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</si>
  <si>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</si>
  <si>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</si>
  <si>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</si>
  <si>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</si>
  <si>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</si>
  <si>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</si>
  <si>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</si>
  <si>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</si>
  <si>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</si>
  <si>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</si>
  <si>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</si>
  <si>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</si>
  <si>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</si>
  <si>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</si>
  <si>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</si>
  <si>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</si>
  <si>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</si>
  <si>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</si>
  <si>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</si>
  <si>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</si>
  <si>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</si>
  <si>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</si>
  <si>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</si>
  <si>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</si>
  <si>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</si>
  <si>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</si>
  <si>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</si>
  <si>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</si>
  <si>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</si>
  <si>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</si>
  <si>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</si>
  <si>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</si>
  <si>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</si>
  <si>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</si>
  <si>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</si>
  <si>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</si>
  <si>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</si>
  <si>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</si>
  <si>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</si>
  <si>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</si>
  <si>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</si>
  <si>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</si>
  <si>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</si>
  <si>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</si>
  <si>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</si>
  <si>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</si>
  <si>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</si>
  <si>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</si>
  <si>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</si>
  <si>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</si>
  <si>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</si>
  <si>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</si>
  <si>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</si>
  <si>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</si>
  <si>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</si>
  <si>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</si>
  <si>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</si>
  <si>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</si>
  <si>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</si>
  <si>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</si>
  <si>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</si>
  <si>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</si>
  <si>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</si>
  <si>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</si>
  <si>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</si>
  <si>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</si>
  <si>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</si>
  <si>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</si>
  <si>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</si>
  <si>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</si>
  <si>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</si>
  <si>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</si>
  <si>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</si>
  <si>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</si>
  <si>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</si>
  <si>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</si>
  <si>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</si>
  <si>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</si>
  <si>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</si>
  <si>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</si>
  <si>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</si>
  <si>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</si>
  <si>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</si>
  <si>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</si>
  <si>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</si>
  <si>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</si>
  <si>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</si>
  <si>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</si>
  <si>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</si>
  <si>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</si>
  <si>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</si>
  <si>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</si>
  <si>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</si>
  <si>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</si>
  <si>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</si>
  <si>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</si>
  <si>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</si>
  <si>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</si>
  <si>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</si>
  <si>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</si>
  <si>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</si>
  <si>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</si>
  <si>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</si>
  <si>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</si>
  <si>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</si>
  <si>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</si>
  <si>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</si>
  <si>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</si>
  <si>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</si>
  <si>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</si>
  <si>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</si>
  <si>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</si>
  <si>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</si>
  <si>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</si>
  <si>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</si>
  <si>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</si>
  <si>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</si>
  <si>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</si>
  <si>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</si>
  <si>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</si>
  <si>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</si>
  <si>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</si>
  <si>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</si>
  <si>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</si>
  <si>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</si>
  <si>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</si>
  <si>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</si>
  <si>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</si>
  <si>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</si>
  <si>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</si>
  <si>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</si>
  <si>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</si>
  <si>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</si>
  <si>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</si>
  <si>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</si>
  <si>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</si>
  <si>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</si>
  <si>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</si>
  <si>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</si>
  <si>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</si>
  <si>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</si>
  <si>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</si>
  <si>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</si>
  <si>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</si>
  <si>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</si>
  <si>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</si>
  <si>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</si>
  <si>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</si>
  <si>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</si>
  <si>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</si>
  <si>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</si>
  <si>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</si>
  <si>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</si>
  <si>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</si>
  <si>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</si>
  <si>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</si>
  <si>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</si>
  <si>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</si>
  <si>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</si>
  <si>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</si>
  <si>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</si>
  <si>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</si>
  <si>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</si>
  <si>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</si>
  <si>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</si>
  <si>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</si>
  <si>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</si>
  <si>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</si>
  <si>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</si>
  <si>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</si>
  <si>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</si>
  <si>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</si>
  <si>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</si>
  <si>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</si>
  <si>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</si>
  <si>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</si>
  <si>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</si>
  <si>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</si>
  <si>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</si>
  <si>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</si>
  <si>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</si>
  <si>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</si>
  <si>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</si>
  <si>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</si>
  <si>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</si>
  <si>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</si>
  <si>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</si>
  <si>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</si>
  <si>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</si>
  <si>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</si>
  <si>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</si>
  <si>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</si>
  <si>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</si>
  <si>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</si>
  <si>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</si>
  <si>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</si>
  <si>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</si>
  <si>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</si>
  <si>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</si>
  <si>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</si>
  <si>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</si>
  <si>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</si>
  <si>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</si>
  <si>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</si>
  <si>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</si>
  <si>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</si>
  <si>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</si>
  <si>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</si>
  <si>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</si>
  <si>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</si>
  <si>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</si>
  <si>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</si>
  <si>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</si>
  <si>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</si>
  <si>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</si>
  <si>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</si>
  <si>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</si>
  <si>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</si>
  <si>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</si>
  <si>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</si>
  <si>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</si>
  <si>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</si>
  <si>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</si>
  <si>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</si>
  <si>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</si>
  <si>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</si>
  <si>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</si>
  <si>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</si>
  <si>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</si>
  <si>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</si>
  <si>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</si>
  <si>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</si>
  <si>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</si>
  <si>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</si>
  <si>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</si>
  <si>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</si>
  <si>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</si>
  <si>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</si>
  <si>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</si>
  <si>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</si>
  <si>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</si>
  <si>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</si>
  <si>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</si>
  <si>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</si>
  <si>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</si>
  <si>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</si>
  <si>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</si>
  <si>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</si>
  <si>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</si>
  <si>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</si>
  <si>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</si>
  <si>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</si>
  <si>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</si>
  <si>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</si>
  <si>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</si>
  <si>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</si>
  <si>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</si>
  <si>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</si>
  <si>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</si>
  <si>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</si>
  <si>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</si>
  <si>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</si>
  <si>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</si>
  <si>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</si>
  <si>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</si>
  <si>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</si>
  <si>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</si>
  <si>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</si>
  <si>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</si>
  <si>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</si>
  <si>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</si>
  <si>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</si>
  <si>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</si>
  <si>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</si>
  <si>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</si>
  <si>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</si>
  <si>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</si>
  <si>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</si>
  <si>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</si>
  <si>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</si>
  <si>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</si>
  <si>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</si>
  <si>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</si>
  <si>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</si>
  <si>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</si>
  <si>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</si>
  <si>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</si>
  <si>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</si>
  <si>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</si>
  <si>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</si>
  <si>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</si>
  <si>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</si>
  <si>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</si>
  <si>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</si>
  <si>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</si>
  <si>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</si>
  <si>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</si>
  <si>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</si>
  <si>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</si>
  <si>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</si>
  <si>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</si>
  <si>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</si>
  <si>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</si>
  <si>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</si>
  <si>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</si>
  <si>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</si>
  <si>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</si>
  <si>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</si>
  <si>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</si>
  <si>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</si>
  <si>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</si>
  <si>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</si>
  <si>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</si>
  <si>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</si>
  <si>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</si>
  <si>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</si>
  <si>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</si>
  <si>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</si>
  <si>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</si>
  <si>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</si>
  <si>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</si>
  <si>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</si>
  <si>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</si>
  <si>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</si>
  <si>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</si>
  <si>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</si>
  <si>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</si>
  <si>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</si>
  <si>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</si>
  <si>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</si>
  <si>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</si>
  <si>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</si>
  <si>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</si>
  <si>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</si>
  <si>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</si>
  <si>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</si>
  <si>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</si>
  <si>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</si>
  <si>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</si>
  <si>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</si>
  <si>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</si>
  <si>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</si>
  <si>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</si>
  <si>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</si>
  <si>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</si>
  <si>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</si>
  <si>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</si>
  <si>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</si>
  <si>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</si>
  <si>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</si>
  <si>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</si>
  <si>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</si>
  <si>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</si>
  <si>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</si>
  <si>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</si>
  <si>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</si>
  <si>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</si>
  <si>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</si>
  <si>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</si>
  <si>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</si>
  <si>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</si>
  <si>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</si>
  <si>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</si>
  <si>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</si>
  <si>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</si>
  <si>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</si>
  <si>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</si>
  <si>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</si>
  <si>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</si>
  <si>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</si>
  <si>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</si>
  <si>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</si>
  <si>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</si>
  <si>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</si>
  <si>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</si>
  <si>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</si>
  <si>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</si>
  <si>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</si>
  <si>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</si>
  <si>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</si>
  <si>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</si>
  <si>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</si>
  <si>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</si>
  <si>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</si>
  <si>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</si>
  <si>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</si>
  <si>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</si>
  <si>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</si>
  <si>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</si>
  <si>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</si>
  <si>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</si>
  <si>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</si>
  <si>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</si>
  <si>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</si>
  <si>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</si>
  <si>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</si>
  <si>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</si>
  <si>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</si>
  <si>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</si>
  <si>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</si>
  <si>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</si>
  <si>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</si>
  <si>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</si>
  <si>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</si>
  <si>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</si>
  <si>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</si>
  <si>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</si>
  <si>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</si>
  <si>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</si>
  <si>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</si>
  <si>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</si>
  <si>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</si>
  <si>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</si>
  <si>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</si>
  <si>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</si>
  <si>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</si>
  <si>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</si>
  <si>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</si>
  <si>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</si>
  <si>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</si>
  <si>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</si>
  <si>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</si>
  <si>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</si>
  <si>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</si>
  <si>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</si>
  <si>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</si>
  <si>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</si>
  <si>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</si>
  <si>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</si>
  <si>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</si>
  <si>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</si>
  <si>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</si>
  <si>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</si>
  <si>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</si>
  <si>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</si>
  <si>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</si>
  <si>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</si>
  <si>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</si>
  <si>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</si>
  <si>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</si>
  <si>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</si>
  <si>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</si>
  <si>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</si>
  <si>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</si>
  <si>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</si>
  <si>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</si>
  <si>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</si>
  <si>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</si>
  <si>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</si>
  <si>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</si>
  <si>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</si>
  <si>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</si>
  <si>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</si>
  <si>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</si>
  <si>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</si>
  <si>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</si>
  <si>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</si>
  <si>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</si>
  <si>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</si>
  <si>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</si>
  <si>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</si>
  <si>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</si>
  <si>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</si>
  <si>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</si>
  <si>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</si>
  <si>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</si>
  <si>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</si>
  <si>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</si>
  <si>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</si>
  <si>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</si>
  <si>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</si>
  <si>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</si>
  <si>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</si>
  <si>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</si>
  <si>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</si>
  <si>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</si>
  <si>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</si>
  <si>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</si>
  <si>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</si>
  <si>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</si>
  <si>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</si>
  <si>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</si>
  <si>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</si>
  <si>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</si>
  <si>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</si>
  <si>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</si>
  <si>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</si>
  <si>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</si>
  <si>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</si>
  <si>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</si>
  <si>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</si>
  <si>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</si>
  <si>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</si>
  <si>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</si>
  <si>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</si>
  <si>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</si>
  <si>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</si>
  <si>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</si>
  <si>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</si>
  <si>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</si>
  <si>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</si>
  <si>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</si>
  <si>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</si>
  <si>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</si>
  <si>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</si>
  <si>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</si>
  <si>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</si>
  <si>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</si>
  <si>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</si>
  <si>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</si>
  <si>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</si>
  <si>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</si>
  <si>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</si>
  <si>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</si>
  <si>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</si>
  <si>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</si>
  <si>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</si>
  <si>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</si>
  <si>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</si>
  <si>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</si>
  <si>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</si>
  <si>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</si>
  <si>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</si>
  <si>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</si>
  <si>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</si>
  <si>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</si>
  <si>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</si>
  <si>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</si>
  <si>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</si>
  <si>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</si>
  <si>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</si>
  <si>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</si>
  <si>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</si>
  <si>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</si>
  <si>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</si>
  <si>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</si>
  <si>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</si>
  <si>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</si>
  <si>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</si>
  <si>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</si>
  <si>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</si>
  <si>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</si>
  <si>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</si>
  <si>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</si>
  <si>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</si>
  <si>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</si>
  <si>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</si>
  <si>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</si>
  <si>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</si>
  <si>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</si>
  <si>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</si>
  <si>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</si>
  <si>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</si>
  <si>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</si>
  <si>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</si>
  <si>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</si>
  <si>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</si>
  <si>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</si>
  <si>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</si>
  <si>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</si>
  <si>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</si>
  <si>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</si>
  <si>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</si>
  <si>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</si>
  <si>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</si>
  <si>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</si>
  <si>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</si>
  <si>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</si>
  <si>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</si>
  <si>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</si>
  <si>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</si>
  <si>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</si>
  <si>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</si>
  <si>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</si>
  <si>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</si>
  <si>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</si>
  <si>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</si>
  <si>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</si>
  <si>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</si>
  <si>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</si>
  <si>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</si>
  <si>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</si>
  <si>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</si>
  <si>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</si>
  <si>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</si>
  <si>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</si>
  <si>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</si>
  <si>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</si>
  <si>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</si>
  <si>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</si>
  <si>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</si>
  <si>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</si>
  <si>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</si>
  <si>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</si>
  <si>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</si>
  <si>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</si>
  <si>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</si>
  <si>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</si>
  <si>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</si>
  <si>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</si>
  <si>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</si>
  <si>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</si>
  <si>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</si>
  <si>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</si>
  <si>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</si>
  <si>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</si>
  <si>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</si>
  <si>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</si>
  <si>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</si>
  <si>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</si>
  <si>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</si>
  <si>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</si>
  <si>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</si>
  <si>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</si>
  <si>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</si>
  <si>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</si>
  <si>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</si>
  <si>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</si>
  <si>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</si>
  <si>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</si>
  <si>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</si>
  <si>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</si>
  <si>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</si>
  <si>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</si>
  <si>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</si>
  <si>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</si>
  <si>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</si>
  <si>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</si>
  <si>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</si>
  <si>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</si>
  <si>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</si>
  <si>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</si>
  <si>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</si>
  <si>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</si>
  <si>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</si>
  <si>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</si>
  <si>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</si>
  <si>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</si>
  <si>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</si>
  <si>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</si>
  <si>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</si>
  <si>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</si>
  <si>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</si>
  <si>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</si>
  <si>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</si>
  <si>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</si>
  <si>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</si>
  <si>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</si>
  <si>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</si>
  <si>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</si>
  <si>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</si>
  <si>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</si>
  <si>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</si>
  <si>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</si>
  <si>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</si>
  <si>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</si>
  <si>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</si>
  <si>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</si>
  <si>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</si>
  <si>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</si>
  <si>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</si>
  <si>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</si>
  <si>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</si>
  <si>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</si>
  <si>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</si>
  <si>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</si>
  <si>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</si>
  <si>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</si>
  <si>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</si>
  <si>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</si>
  <si>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</si>
  <si>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</si>
  <si>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</si>
  <si>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</si>
  <si>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</si>
  <si>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</si>
  <si>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</si>
  <si>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</si>
  <si>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</si>
  <si>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</si>
  <si>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</si>
  <si>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</si>
  <si>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</si>
  <si>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</si>
  <si>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</si>
  <si>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</si>
  <si>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</si>
  <si>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</si>
  <si>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</si>
  <si>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</si>
  <si>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</si>
  <si>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</si>
  <si>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</si>
  <si>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</si>
  <si>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</si>
  <si>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</si>
  <si>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</si>
  <si>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</si>
  <si>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</si>
  <si>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</si>
  <si>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</si>
  <si>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</si>
  <si>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</si>
  <si>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</si>
  <si>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</si>
  <si>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</si>
  <si>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</si>
  <si>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</si>
  <si>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</si>
  <si>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</si>
  <si>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</si>
  <si>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</si>
  <si>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</si>
  <si>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</si>
  <si>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</si>
  <si>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</si>
  <si>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</si>
  <si>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</si>
  <si>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</si>
  <si>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</si>
  <si>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</si>
  <si>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</si>
  <si>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</si>
  <si>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</si>
  <si>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</si>
  <si>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</si>
  <si>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</si>
  <si>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</si>
  <si>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</si>
  <si>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</si>
  <si>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</si>
  <si>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</si>
  <si>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</si>
  <si>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</si>
  <si>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</si>
  <si>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</si>
  <si>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</si>
  <si>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</si>
  <si>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</si>
  <si>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</si>
  <si>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</si>
  <si>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</si>
  <si>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</si>
  <si>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</si>
  <si>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</si>
  <si>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</si>
  <si>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</si>
  <si>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</si>
  <si>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</si>
  <si>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</si>
  <si>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</si>
  <si>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</si>
  <si>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</si>
  <si>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</si>
  <si>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</si>
  <si>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</si>
  <si>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</si>
  <si>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</si>
  <si>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</si>
  <si>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</si>
  <si>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</si>
  <si>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</si>
  <si>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</si>
  <si>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</si>
  <si>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</si>
  <si>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</si>
  <si>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</si>
  <si>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</si>
  <si>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</si>
  <si>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</si>
  <si>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</si>
  <si>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</si>
  <si>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</si>
  <si>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</si>
  <si>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</si>
  <si>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</si>
  <si>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</si>
  <si>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</si>
  <si>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</si>
  <si>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</si>
  <si>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</si>
  <si>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</si>
  <si>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</si>
  <si>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</si>
  <si>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</si>
  <si>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</si>
  <si>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</si>
  <si>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</si>
  <si>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</si>
  <si>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</si>
  <si>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</si>
  <si>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</si>
  <si>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</si>
  <si>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</si>
  <si>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</si>
  <si>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</si>
  <si>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</si>
  <si>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</si>
  <si>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</si>
  <si>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</si>
  <si>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</si>
  <si>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</si>
  <si>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</si>
  <si>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</si>
  <si>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</si>
  <si>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</si>
  <si>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</si>
  <si>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</si>
  <si>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</si>
  <si>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</si>
  <si>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</si>
  <si>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</si>
  <si>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</si>
  <si>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</si>
  <si>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</si>
  <si>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</si>
  <si>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</si>
  <si>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</si>
  <si>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</si>
  <si>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</si>
  <si>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</si>
  <si>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</si>
  <si>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</si>
  <si>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</si>
  <si>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</si>
  <si>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</si>
  <si>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</si>
  <si>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</si>
  <si>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</si>
  <si>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</si>
  <si>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</si>
  <si>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</si>
  <si>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</si>
  <si>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</si>
  <si>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</si>
  <si>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</si>
  <si>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</si>
  <si>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</si>
  <si>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</si>
  <si>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</si>
  <si>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</si>
  <si>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</si>
  <si>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</si>
  <si>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</si>
  <si>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</si>
  <si>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</si>
  <si>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</si>
  <si>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</si>
  <si>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</si>
  <si>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</si>
  <si>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</si>
  <si>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</si>
  <si>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</si>
  <si>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</si>
  <si>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</si>
  <si>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</si>
  <si>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</si>
  <si>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</si>
  <si>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</si>
  <si>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</si>
  <si>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</si>
  <si>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</si>
  <si>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</si>
  <si>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</si>
  <si>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</si>
  <si>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</si>
  <si>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</si>
  <si>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</si>
  <si>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</si>
  <si>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</si>
  <si>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</si>
  <si>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</si>
  <si>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</si>
  <si>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</si>
  <si>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</si>
  <si>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</si>
  <si>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</si>
  <si>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</si>
  <si>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</si>
  <si>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</si>
  <si>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</si>
  <si>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</si>
  <si>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</si>
  <si>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</si>
  <si>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</si>
  <si>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</si>
  <si>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</si>
  <si>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</si>
  <si>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</si>
  <si>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</si>
  <si>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</si>
  <si>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</si>
  <si>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</si>
  <si>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</si>
  <si>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</si>
  <si>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</si>
  <si>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</si>
  <si>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</si>
  <si>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</si>
  <si>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</si>
  <si>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</si>
  <si>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</si>
  <si>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</si>
  <si>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</si>
  <si>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</si>
  <si>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</si>
  <si>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</si>
  <si>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</si>
  <si>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</si>
  <si>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</si>
  <si>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</si>
  <si>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</si>
  <si>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</si>
  <si>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</si>
  <si>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</si>
  <si>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</si>
  <si>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</si>
  <si>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</si>
  <si>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</si>
  <si>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</si>
  <si>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</si>
  <si>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</si>
  <si>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</si>
  <si>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</si>
  <si>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</si>
  <si>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</si>
  <si>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</si>
  <si>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</si>
  <si>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</si>
  <si>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</si>
  <si>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</si>
  <si>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</si>
  <si>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</si>
  <si>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</si>
  <si>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</si>
  <si>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</si>
  <si>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</si>
  <si>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</si>
  <si>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</si>
  <si>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</si>
  <si>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</si>
  <si>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</si>
  <si>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</si>
  <si>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</si>
  <si>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</si>
  <si>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</si>
  <si>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</si>
  <si>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</si>
  <si>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</si>
  <si>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</si>
  <si>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</si>
  <si>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</si>
  <si>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</si>
  <si>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</si>
  <si>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</si>
  <si>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</si>
  <si>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</si>
  <si>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</si>
  <si>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</si>
  <si>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</si>
  <si>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</si>
  <si>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</si>
  <si>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</si>
  <si>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</si>
  <si>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</si>
  <si>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</si>
  <si>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</si>
  <si>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</si>
  <si>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</si>
  <si>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</si>
  <si>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</si>
  <si>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</si>
  <si>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</si>
  <si>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</si>
  <si>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</si>
  <si>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</si>
  <si>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</si>
  <si>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</si>
  <si>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</si>
  <si>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</si>
  <si>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</si>
  <si>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</si>
  <si>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</si>
  <si>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</si>
  <si>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</si>
  <si>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</si>
  <si>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</si>
  <si>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</si>
  <si>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</si>
  <si>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</si>
  <si>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</si>
  <si>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</si>
  <si>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</si>
  <si>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</si>
  <si>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</si>
  <si>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</si>
  <si>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</si>
  <si>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</si>
  <si>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</si>
  <si>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</si>
  <si>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</si>
  <si>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</si>
  <si>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</si>
  <si>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</si>
  <si>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</si>
  <si>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</si>
  <si>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</si>
  <si>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</si>
  <si>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</si>
  <si>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</si>
  <si>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</si>
  <si>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</si>
  <si>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</si>
  <si>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</si>
  <si>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</si>
  <si>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</si>
  <si>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</si>
  <si>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</si>
  <si>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</si>
  <si>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</si>
  <si>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</si>
  <si>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</si>
  <si>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</si>
  <si>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</si>
  <si>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</si>
  <si>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</si>
  <si>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</si>
  <si>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</si>
  <si>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</si>
  <si>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</si>
  <si>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</si>
  <si>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</si>
  <si>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</si>
  <si>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</si>
  <si>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</si>
  <si>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</si>
  <si>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</si>
  <si>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</si>
  <si>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</si>
  <si>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</si>
  <si>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</si>
  <si>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</si>
  <si>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</si>
  <si>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</si>
  <si>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</si>
  <si>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</si>
  <si>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</si>
  <si>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</si>
  <si>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</si>
  <si>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</si>
  <si>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</si>
  <si>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</si>
  <si>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</si>
  <si>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</si>
  <si>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</si>
  <si>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</si>
  <si>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</si>
  <si>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</si>
  <si>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</si>
  <si>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</si>
  <si>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</si>
  <si>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</si>
  <si>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</si>
  <si>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</si>
  <si>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</si>
  <si>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</si>
  <si>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</si>
  <si>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</si>
  <si>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</si>
  <si>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</si>
  <si>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</si>
  <si>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</si>
  <si>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</si>
  <si>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</si>
  <si>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</si>
  <si>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</si>
  <si>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</si>
  <si>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</si>
  <si>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</si>
  <si>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</si>
  <si>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</si>
  <si>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</si>
  <si>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</si>
  <si>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</si>
  <si>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</si>
  <si>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</si>
  <si>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</si>
  <si>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</si>
  <si>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</si>
  <si>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</si>
  <si>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</si>
  <si>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</si>
  <si>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</si>
  <si>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</si>
  <si>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</si>
  <si>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</si>
  <si>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</si>
  <si>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</si>
  <si>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</si>
  <si>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</si>
  <si>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</si>
  <si>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</si>
  <si>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</si>
  <si>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</si>
  <si>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</si>
  <si>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</si>
  <si>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</si>
  <si>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</si>
  <si>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</si>
  <si>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</si>
  <si>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</si>
  <si>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</si>
  <si>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</si>
  <si>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</si>
  <si>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</si>
  <si>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</si>
  <si>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</si>
  <si>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</si>
  <si>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</si>
  <si>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</si>
  <si>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</si>
  <si>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</si>
  <si>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</si>
  <si>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</si>
  <si>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</si>
  <si>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</si>
  <si>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</si>
  <si>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</si>
  <si>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</si>
  <si>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</si>
  <si>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</si>
  <si>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</si>
  <si>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</si>
  <si>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</si>
  <si>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</si>
  <si>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</si>
  <si>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</si>
  <si>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</si>
  <si>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</si>
  <si>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</si>
  <si>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</si>
  <si>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</si>
  <si>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</si>
  <si>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</si>
  <si>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</si>
  <si>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</si>
  <si>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</si>
  <si>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</si>
  <si>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</si>
  <si>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</si>
  <si>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</si>
  <si>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</si>
  <si>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</si>
  <si>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</si>
  <si>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</si>
  <si>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</si>
  <si>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</si>
  <si>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</si>
  <si>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</si>
  <si>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</si>
  <si>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</si>
  <si>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</si>
  <si>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</si>
  <si>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</si>
  <si>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</si>
  <si>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</si>
  <si>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</si>
  <si>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</si>
  <si>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</si>
  <si>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</si>
  <si>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</si>
  <si>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</si>
  <si>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</si>
  <si>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</si>
  <si>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</si>
  <si>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</si>
  <si>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</si>
  <si>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</si>
  <si>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</si>
  <si>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</si>
  <si>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</si>
  <si>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</si>
  <si>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</si>
  <si>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</si>
  <si>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</si>
  <si>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</si>
  <si>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</si>
  <si>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</si>
  <si>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</si>
  <si>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</si>
  <si>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</si>
  <si>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</si>
  <si>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</si>
  <si>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</si>
  <si>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</si>
  <si>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</si>
  <si>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</si>
  <si>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</si>
  <si>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</si>
  <si>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</si>
  <si>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</si>
  <si>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</si>
  <si>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</si>
  <si>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</si>
  <si>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</si>
  <si>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</si>
  <si>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</si>
  <si>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</si>
  <si>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</si>
  <si>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</si>
  <si>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</si>
  <si>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</si>
  <si>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</si>
  <si>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</si>
  <si>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</si>
  <si>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</si>
  <si>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</si>
  <si>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</si>
  <si>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</si>
  <si>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</si>
  <si>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</si>
  <si>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</si>
  <si>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</si>
  <si>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</si>
  <si>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</si>
  <si>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</si>
  <si>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</si>
  <si>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</si>
  <si>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</si>
  <si>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</si>
  <si>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</si>
  <si>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</si>
  <si>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</si>
  <si>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</si>
  <si>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</si>
  <si>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</si>
  <si>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</si>
  <si>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</si>
  <si>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</si>
  <si>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</si>
  <si>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</si>
  <si>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</si>
  <si>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</si>
  <si>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</si>
  <si>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</si>
  <si>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</si>
  <si>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</si>
  <si>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</si>
  <si>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</si>
  <si>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</si>
  <si>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</si>
  <si>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</si>
  <si>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</si>
  <si>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</si>
  <si>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</si>
  <si>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</si>
  <si>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</si>
  <si>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</si>
  <si>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</si>
  <si>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</si>
  <si>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</si>
  <si>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</si>
  <si>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</si>
  <si>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</si>
  <si>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</si>
  <si>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</si>
  <si>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</si>
  <si>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</si>
  <si>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</si>
  <si>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</si>
  <si>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</si>
  <si>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</si>
  <si>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</si>
  <si>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</si>
  <si>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</si>
  <si>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</si>
  <si>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</si>
  <si>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</si>
  <si>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</si>
  <si>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</si>
  <si>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</si>
  <si>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</si>
  <si>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</si>
  <si>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</si>
  <si>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</si>
  <si>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</si>
  <si>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</si>
  <si>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</si>
  <si>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</si>
  <si>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</si>
  <si>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</si>
  <si>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</si>
  <si>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</si>
  <si>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</si>
  <si>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</si>
  <si>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</si>
  <si>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</si>
  <si>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</si>
  <si>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</si>
  <si>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</si>
  <si>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</si>
  <si>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</si>
  <si>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</si>
  <si>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</si>
  <si>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</si>
  <si>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</si>
  <si>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</si>
  <si>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</si>
  <si>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</si>
  <si>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</si>
  <si>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</si>
  <si>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</si>
  <si>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</si>
  <si>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</si>
  <si>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</si>
  <si>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</si>
  <si>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</si>
  <si>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</si>
  <si>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</si>
  <si>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</si>
  <si>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</si>
  <si>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</si>
  <si>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</si>
  <si>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</si>
  <si>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</si>
  <si>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</si>
  <si>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</si>
  <si>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</si>
  <si>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</si>
  <si>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</si>
  <si>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</si>
  <si>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</si>
  <si>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</si>
  <si>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</si>
  <si>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</si>
  <si>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</si>
  <si>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</si>
  <si>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</si>
  <si>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</si>
  <si>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</si>
  <si>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</si>
  <si>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</si>
  <si>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</si>
  <si>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</si>
  <si>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</si>
  <si>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</si>
  <si>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</si>
  <si>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</si>
  <si>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</si>
  <si>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</si>
  <si>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</si>
  <si>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</si>
  <si>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</si>
  <si>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</si>
  <si>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</si>
  <si>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</si>
  <si>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</si>
  <si>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</si>
  <si>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</si>
  <si>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</si>
  <si>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</si>
  <si>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</si>
  <si>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</si>
  <si>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</si>
  <si>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</si>
  <si>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</si>
  <si>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</si>
  <si>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</si>
  <si>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</si>
  <si>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</si>
  <si>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</si>
  <si>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</si>
  <si>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</si>
  <si>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</si>
  <si>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</si>
  <si>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</si>
  <si>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</si>
  <si>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</si>
  <si>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</si>
  <si>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</si>
  <si>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</si>
  <si>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</si>
  <si>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</si>
  <si>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</si>
  <si>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</si>
  <si>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</si>
  <si>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</si>
  <si>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</si>
  <si>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</si>
  <si>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</si>
  <si>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</si>
  <si>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</si>
  <si>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</si>
  <si>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</si>
  <si>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</si>
  <si>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</si>
  <si>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</si>
  <si>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</si>
  <si>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</si>
  <si>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</si>
  <si>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</si>
  <si>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</si>
  <si>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</si>
  <si>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</si>
  <si>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</si>
  <si>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</si>
  <si>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</si>
  <si>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</si>
  <si>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</si>
  <si>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</si>
  <si>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</si>
  <si>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</si>
  <si>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</si>
  <si>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</si>
  <si>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</si>
  <si>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</si>
  <si>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</si>
  <si>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</si>
  <si>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</si>
  <si>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</si>
  <si>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</si>
  <si>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</si>
  <si>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</si>
  <si>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</si>
  <si>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</si>
  <si>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</si>
  <si>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</si>
  <si>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</si>
  <si>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</si>
  <si>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</si>
  <si>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</si>
  <si>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</si>
  <si>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</si>
  <si>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</si>
  <si>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</si>
  <si>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</si>
  <si>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</si>
  <si>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</si>
  <si>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</si>
  <si>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</si>
  <si>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</si>
  <si>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</si>
  <si>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</si>
  <si>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</si>
  <si>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</si>
  <si>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</si>
  <si>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</si>
  <si>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</si>
  <si>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</si>
  <si>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</si>
  <si>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</si>
  <si>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</si>
  <si>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</si>
  <si>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</si>
  <si>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</si>
  <si>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</si>
  <si>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</si>
  <si>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</si>
  <si>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</si>
  <si>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</si>
  <si>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</si>
  <si>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</si>
  <si>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</si>
  <si>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</si>
  <si>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</si>
  <si>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</si>
  <si>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</si>
  <si>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</si>
  <si>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</si>
  <si>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</si>
  <si>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</si>
  <si>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</si>
  <si>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</si>
  <si>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</si>
  <si>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</si>
  <si>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</si>
  <si>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</si>
  <si>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</si>
  <si>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</si>
  <si>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</si>
  <si>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</si>
  <si>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</si>
  <si>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</si>
  <si>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</si>
  <si>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</si>
  <si>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</si>
  <si>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</si>
  <si>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</si>
  <si>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</si>
  <si>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</si>
  <si>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</si>
  <si>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</si>
  <si>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</si>
  <si>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</si>
  <si>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</si>
  <si>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</si>
  <si>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</si>
  <si>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</si>
  <si>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</si>
  <si>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</si>
  <si>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</si>
  <si>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</si>
  <si>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</si>
  <si>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</si>
  <si>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</si>
  <si>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</si>
  <si>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</si>
  <si>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</si>
  <si>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</si>
  <si>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</si>
  <si>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</si>
  <si>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</si>
  <si>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</si>
  <si>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</si>
  <si>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</si>
  <si>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</si>
  <si>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</si>
  <si>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</si>
  <si>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</si>
  <si>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</si>
  <si>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</si>
  <si>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</si>
  <si>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</si>
  <si>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</si>
  <si>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</si>
  <si>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</si>
  <si>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</si>
  <si>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</si>
  <si>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</si>
  <si>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</si>
  <si>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</si>
  <si>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</si>
  <si>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</si>
  <si>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</si>
  <si>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</si>
  <si>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</si>
  <si>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</si>
  <si>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</si>
  <si>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</si>
  <si>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</si>
  <si>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</si>
  <si>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</si>
  <si>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</si>
  <si>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</si>
  <si>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</si>
  <si>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</si>
  <si>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</si>
  <si>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</si>
  <si>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</si>
  <si>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</si>
  <si>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</si>
  <si>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</si>
  <si>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</si>
  <si>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</si>
  <si>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</si>
  <si>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</si>
  <si>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</si>
  <si>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</si>
  <si>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</si>
  <si>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</si>
  <si>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</si>
  <si>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</si>
  <si>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</si>
  <si>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</si>
  <si>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</si>
  <si>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</si>
  <si>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</si>
  <si>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</si>
  <si>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</si>
  <si>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</si>
  <si>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</si>
  <si>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</si>
  <si>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</si>
  <si>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</si>
  <si>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</si>
  <si>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</si>
  <si>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</si>
  <si>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</si>
  <si>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</si>
  <si>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</si>
  <si>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</si>
  <si>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</si>
  <si>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</si>
  <si>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</si>
  <si>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</si>
  <si>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</si>
  <si>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</si>
  <si>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</si>
  <si>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</si>
  <si>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</si>
  <si>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</si>
  <si>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</si>
  <si>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</si>
  <si>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</si>
  <si>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</si>
  <si>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</si>
  <si>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</si>
  <si>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</si>
  <si>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</si>
  <si>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</si>
  <si>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</si>
  <si>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</si>
  <si>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</si>
  <si>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</si>
  <si>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</si>
  <si>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</si>
  <si>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</si>
  <si>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</si>
  <si>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</si>
  <si>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</si>
  <si>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</si>
  <si>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</si>
  <si>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</si>
  <si>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</si>
  <si>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</si>
  <si>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</si>
  <si>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</si>
  <si>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</si>
  <si>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</si>
  <si>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</si>
  <si>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</si>
  <si>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</si>
  <si>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</si>
  <si>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</si>
  <si>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</si>
  <si>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</si>
  <si>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</si>
  <si>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</si>
  <si>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</si>
  <si>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</si>
  <si>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</si>
  <si>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</si>
  <si>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</si>
  <si>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</si>
  <si>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</si>
  <si>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</si>
  <si>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</si>
  <si>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</si>
  <si>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</si>
  <si>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</si>
  <si>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</si>
  <si>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</si>
  <si>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</si>
  <si>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</si>
  <si>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</si>
  <si>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</si>
  <si>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</si>
  <si>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</si>
  <si>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</si>
  <si>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</si>
  <si>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</si>
  <si>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</si>
  <si>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</si>
  <si>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</si>
  <si>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</si>
  <si>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</si>
  <si>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</si>
  <si>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</si>
  <si>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</si>
  <si>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</si>
  <si>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</si>
  <si>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</si>
  <si>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</si>
  <si>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</si>
  <si>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</si>
  <si>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</si>
  <si>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</si>
  <si>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</si>
  <si>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</si>
  <si>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</si>
  <si>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</si>
  <si>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</si>
  <si>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</si>
  <si>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</si>
  <si>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</si>
  <si>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</si>
  <si>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</si>
  <si>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</si>
  <si>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</si>
  <si>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</si>
  <si>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</si>
  <si>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</si>
  <si>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</si>
  <si>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</si>
  <si>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</si>
  <si>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</si>
  <si>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</si>
  <si>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</si>
  <si>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</si>
  <si>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</si>
  <si>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</si>
  <si>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</si>
  <si>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</si>
  <si>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</si>
  <si>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</si>
  <si>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</si>
  <si>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</si>
  <si>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</si>
  <si>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</si>
  <si>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</si>
  <si>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</si>
  <si>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</si>
  <si>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</si>
  <si>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</si>
  <si>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</si>
  <si>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</si>
  <si>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</si>
  <si>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</si>
  <si>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</si>
  <si>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</si>
  <si>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</si>
  <si>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</si>
  <si>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</si>
  <si>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</si>
  <si>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</si>
  <si>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</si>
  <si>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</si>
  <si>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</si>
  <si>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</si>
  <si>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</si>
  <si>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</si>
  <si>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</si>
  <si>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</si>
  <si>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</si>
  <si>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</si>
  <si>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</si>
  <si>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</si>
  <si>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</si>
  <si>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</si>
  <si>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</si>
  <si>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</si>
  <si>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</si>
  <si>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</si>
  <si>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</si>
  <si>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</si>
  <si>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</si>
  <si>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</si>
  <si>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</si>
  <si>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</si>
  <si>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</si>
  <si>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</si>
  <si>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</si>
  <si>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</si>
  <si>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</si>
  <si>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</si>
  <si>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</si>
  <si>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</si>
  <si>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</si>
  <si>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</si>
  <si>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</si>
  <si>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</si>
  <si>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</si>
  <si>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</si>
  <si>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</si>
  <si>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</si>
  <si>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</si>
  <si>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</si>
  <si>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</si>
  <si>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</si>
  <si>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</si>
  <si>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</si>
  <si>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</si>
  <si>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</si>
  <si>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</si>
  <si>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</si>
  <si>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</si>
  <si>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</si>
  <si>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</si>
  <si>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</si>
  <si>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</si>
  <si>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</si>
  <si>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</si>
  <si>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</si>
  <si>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</si>
  <si>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</si>
  <si>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</si>
  <si>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</si>
  <si>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</si>
  <si>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</si>
  <si>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</si>
  <si>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</si>
  <si>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</si>
  <si>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</si>
  <si>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</si>
  <si>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</si>
  <si>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</si>
  <si>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</si>
  <si>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</si>
  <si>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</si>
  <si>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</si>
  <si>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</si>
  <si>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</si>
  <si>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</si>
  <si>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</si>
  <si>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</si>
  <si>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</si>
  <si>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</si>
  <si>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</si>
  <si>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</si>
  <si>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</si>
  <si>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</si>
  <si>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</si>
  <si>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</si>
  <si>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</si>
  <si>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</si>
  <si>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</si>
  <si>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</si>
  <si>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</si>
  <si>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</si>
  <si>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</si>
  <si>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</si>
  <si>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</si>
  <si>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</si>
  <si>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</si>
  <si>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</si>
  <si>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</si>
  <si>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</si>
  <si>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</si>
  <si>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</si>
  <si>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</si>
  <si>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</si>
  <si>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</si>
  <si>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</si>
  <si>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</si>
  <si>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</si>
  <si>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</si>
  <si>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</si>
  <si>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</si>
  <si>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</si>
  <si>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</si>
  <si>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</si>
  <si>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</si>
  <si>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</si>
  <si>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</si>
  <si>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</si>
  <si>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</si>
  <si>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</si>
  <si>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</si>
  <si>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</si>
  <si>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</si>
  <si>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</si>
  <si>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</si>
  <si>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</si>
  <si>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</si>
  <si>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</si>
  <si>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</si>
  <si>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</si>
  <si>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</si>
  <si>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</si>
  <si>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</si>
  <si>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</si>
  <si>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</si>
  <si>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</si>
  <si>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</si>
  <si>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</si>
  <si>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</si>
  <si>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</si>
  <si>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</si>
  <si>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</si>
  <si>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</si>
  <si>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</si>
  <si>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</si>
  <si>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</si>
  <si>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</si>
  <si>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</si>
  <si>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</si>
  <si>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</si>
  <si>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</si>
  <si>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</si>
  <si>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</si>
  <si>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</si>
  <si>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</si>
  <si>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</si>
  <si>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</si>
  <si>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</si>
  <si>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</si>
  <si>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</si>
  <si>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</si>
  <si>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</si>
  <si>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</si>
  <si>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</si>
  <si>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</si>
  <si>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</si>
  <si>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</si>
  <si>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</si>
  <si>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</si>
  <si>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</si>
  <si>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</si>
  <si>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</si>
  <si>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</si>
  <si>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</si>
  <si>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</si>
  <si>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</si>
  <si>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</si>
  <si>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</si>
  <si>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</si>
  <si>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</si>
  <si>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</si>
  <si>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</si>
  <si>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</si>
  <si>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</si>
  <si>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</si>
  <si>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</si>
  <si>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</si>
  <si>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</si>
  <si>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</si>
  <si>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</si>
  <si>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</si>
  <si>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</si>
  <si>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</si>
  <si>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</si>
  <si>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</si>
  <si>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</si>
  <si>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</si>
  <si>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</si>
  <si>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</si>
  <si>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</si>
  <si>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</si>
  <si>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</si>
  <si>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</si>
  <si>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</si>
  <si>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</si>
  <si>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</si>
  <si>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</si>
  <si>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</si>
  <si>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</si>
  <si>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</si>
  <si>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</si>
  <si>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</si>
  <si>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</si>
  <si>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</si>
  <si>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</si>
  <si>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</si>
  <si>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</si>
  <si>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</si>
  <si>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</si>
  <si>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</si>
  <si>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</si>
  <si>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</si>
  <si>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</si>
  <si>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</si>
  <si>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</si>
  <si>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</si>
  <si>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</si>
  <si>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</si>
  <si>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</si>
  <si>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</si>
  <si>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</si>
  <si>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</si>
  <si>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</si>
  <si>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</si>
  <si>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</si>
  <si>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</si>
  <si>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</si>
  <si>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</si>
  <si>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</si>
  <si>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</si>
  <si>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</si>
  <si>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</si>
  <si>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</si>
  <si>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</si>
  <si>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</si>
  <si>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</si>
  <si>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</si>
  <si>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</si>
  <si>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</si>
  <si>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</si>
  <si>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</si>
  <si>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</si>
  <si>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</si>
  <si>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</si>
  <si>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</si>
  <si>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</si>
  <si>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</si>
  <si>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</si>
  <si>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</si>
  <si>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</si>
  <si>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</si>
  <si>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</si>
  <si>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</si>
  <si>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</si>
  <si>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</si>
  <si>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</si>
  <si>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</si>
  <si>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</si>
  <si>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</si>
  <si>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</si>
  <si>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</si>
  <si>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</si>
  <si>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</si>
  <si>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</si>
  <si>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</si>
  <si>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</si>
  <si>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</si>
  <si>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</si>
  <si>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</si>
  <si>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</si>
  <si>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</si>
  <si>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</si>
  <si>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</si>
  <si>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</si>
  <si>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</si>
  <si>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</si>
  <si>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</si>
  <si>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</si>
  <si>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</si>
  <si>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</si>
  <si>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</si>
  <si>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</si>
  <si>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</si>
  <si>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</si>
  <si>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</si>
  <si>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</si>
  <si>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</si>
  <si>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</si>
  <si>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</si>
  <si>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</si>
  <si>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</si>
  <si>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</si>
  <si>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</si>
  <si>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</si>
  <si>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</si>
  <si>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</si>
  <si>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</si>
  <si>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</si>
  <si>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</si>
  <si>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</si>
  <si>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</si>
  <si>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</si>
  <si>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</si>
  <si>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</si>
  <si>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</si>
  <si>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</si>
  <si>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</si>
  <si>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</si>
  <si>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</si>
  <si>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</si>
  <si>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</si>
  <si>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</si>
  <si>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</si>
  <si>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</si>
  <si>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</si>
  <si>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</si>
  <si>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</si>
  <si>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</si>
  <si>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</si>
  <si>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</si>
  <si>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</si>
  <si>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</si>
  <si>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</si>
  <si>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</si>
  <si>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</si>
  <si>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</si>
  <si>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</si>
  <si>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</si>
  <si>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</si>
  <si>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</si>
  <si>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</si>
  <si>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</si>
  <si>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</si>
  <si>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</si>
  <si>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</si>
  <si>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</si>
  <si>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</si>
  <si>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</si>
  <si>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</si>
  <si>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</si>
  <si>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</si>
  <si>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</si>
  <si>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</si>
  <si>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</si>
  <si>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</si>
  <si>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</si>
  <si>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</si>
  <si>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</si>
  <si>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</si>
  <si>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</si>
  <si>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</si>
  <si>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</si>
  <si>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</si>
  <si>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</si>
  <si>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</si>
  <si>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</si>
  <si>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</si>
  <si>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</si>
  <si>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</si>
  <si>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</si>
  <si>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</si>
  <si>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</si>
  <si>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</si>
  <si>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</si>
  <si>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</si>
  <si>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</si>
  <si>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</si>
  <si>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</si>
  <si>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</si>
  <si>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</si>
  <si>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</si>
  <si>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</si>
  <si>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</si>
  <si>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</si>
  <si>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</si>
  <si>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</si>
  <si>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</si>
  <si>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</si>
  <si>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</si>
  <si>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</si>
  <si>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</si>
  <si>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</si>
  <si>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</si>
  <si>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</si>
  <si>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</si>
  <si>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</si>
  <si>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</si>
  <si>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</si>
  <si>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</si>
  <si>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</si>
  <si>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</si>
  <si>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</si>
  <si>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</si>
  <si>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</si>
  <si>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</si>
  <si>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</si>
  <si>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</si>
  <si>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</si>
  <si>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</si>
  <si>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</si>
  <si>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</si>
  <si>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</si>
  <si>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</si>
  <si>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</si>
  <si>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</si>
  <si>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</si>
  <si>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</si>
  <si>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</si>
  <si>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</si>
  <si>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</si>
  <si>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</si>
  <si>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</si>
  <si>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</si>
  <si>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</si>
  <si>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</si>
  <si>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</si>
  <si>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</si>
  <si>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</si>
  <si>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</si>
  <si>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</si>
  <si>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</si>
  <si>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</si>
  <si>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</si>
  <si>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</si>
  <si>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</si>
  <si>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</si>
  <si>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</si>
  <si>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</si>
  <si>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</si>
  <si>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</si>
  <si>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</si>
  <si>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</si>
  <si>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</si>
  <si>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</si>
  <si>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</si>
  <si>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</si>
  <si>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</si>
  <si>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</si>
  <si>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</si>
  <si>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</si>
  <si>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</si>
  <si>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</si>
  <si>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</si>
  <si>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</si>
  <si>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</si>
  <si>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</si>
  <si>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</si>
  <si>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</si>
  <si>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</si>
  <si>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</si>
  <si>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</si>
  <si>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</si>
  <si>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</si>
  <si>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</si>
  <si>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</si>
  <si>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</si>
  <si>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</si>
  <si>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</si>
  <si>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</si>
  <si>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</si>
  <si>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</si>
  <si>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</si>
  <si>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</si>
  <si>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</si>
  <si>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</si>
  <si>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</si>
  <si>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</si>
  <si>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</si>
  <si>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</si>
  <si>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</si>
  <si>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</si>
  <si>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</si>
  <si>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</si>
  <si>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</si>
  <si>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</si>
  <si>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</si>
  <si>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</si>
  <si>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</si>
  <si>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</si>
  <si>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</si>
  <si>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</si>
  <si>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</si>
  <si>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</si>
  <si>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</si>
  <si>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</si>
  <si>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</si>
  <si>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</si>
  <si>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</si>
  <si>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</si>
  <si>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</si>
  <si>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</si>
  <si>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</si>
  <si>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</si>
  <si>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</si>
  <si>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</si>
  <si>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</si>
  <si>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</si>
  <si>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</si>
  <si>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</si>
  <si>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</si>
  <si>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</si>
  <si>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</si>
  <si>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</si>
  <si>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</si>
  <si>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</si>
  <si>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</si>
  <si>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</si>
  <si>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</si>
  <si>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</si>
  <si>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</si>
  <si>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</si>
  <si>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</si>
  <si>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</si>
  <si>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</si>
  <si>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</si>
  <si>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</si>
  <si>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</si>
  <si>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</si>
  <si>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</si>
  <si>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</si>
  <si>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</si>
  <si>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</si>
  <si>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</si>
  <si>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</si>
  <si>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</si>
  <si>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</si>
  <si>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</si>
  <si>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</si>
  <si>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</si>
  <si>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</si>
  <si>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</si>
  <si>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</si>
  <si>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</si>
  <si>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</si>
  <si>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</si>
  <si>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</si>
  <si>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</si>
  <si>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</si>
  <si>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</si>
  <si>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</si>
  <si>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</si>
  <si>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</si>
  <si>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</si>
  <si>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</si>
  <si>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</si>
  <si>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</si>
  <si>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</si>
  <si>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</si>
  <si>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</si>
  <si>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</si>
  <si>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</si>
  <si>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</si>
  <si>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</si>
  <si>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</si>
  <si>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</si>
  <si>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</si>
  <si>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</si>
  <si>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</si>
  <si>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</si>
  <si>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</si>
  <si>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</si>
  <si>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</si>
  <si>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</si>
  <si>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</si>
  <si>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</si>
  <si>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</si>
  <si>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</si>
  <si>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</si>
  <si>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</si>
  <si>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</si>
  <si>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</si>
  <si>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</si>
  <si>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</si>
  <si>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</si>
  <si>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</si>
  <si>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</si>
  <si>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</si>
  <si>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</si>
  <si>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</si>
  <si>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</si>
  <si>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</si>
  <si>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</si>
  <si>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</si>
  <si>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</si>
  <si>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</si>
  <si>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</si>
  <si>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</si>
  <si>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</si>
  <si>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</si>
  <si>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</si>
  <si>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</si>
  <si>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</si>
  <si>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</si>
  <si>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</si>
  <si>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</si>
  <si>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</si>
  <si>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</si>
  <si>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</si>
  <si>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</si>
  <si>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</si>
  <si>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</si>
  <si>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</si>
  <si>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</si>
  <si>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</si>
  <si>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</si>
  <si>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</si>
  <si>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</si>
  <si>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</si>
  <si>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</si>
  <si>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</si>
  <si>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</si>
  <si>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</si>
  <si>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</si>
  <si>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</si>
  <si>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</si>
  <si>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</si>
  <si>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</si>
  <si>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</si>
  <si>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</si>
  <si>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</si>
  <si>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</si>
  <si>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</si>
  <si>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</si>
  <si>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</si>
  <si>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</si>
  <si>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</si>
  <si>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</si>
  <si>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</si>
  <si>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</si>
  <si>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</si>
  <si>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</si>
  <si>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</si>
  <si>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</si>
  <si>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</si>
  <si>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</si>
  <si>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</si>
  <si>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</si>
  <si>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</si>
  <si>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</si>
  <si>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</si>
  <si>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</si>
  <si>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</si>
  <si>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</si>
  <si>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</si>
  <si>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</si>
  <si>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</si>
  <si>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</si>
  <si>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</si>
  <si>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</si>
  <si>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</si>
  <si>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</si>
  <si>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</si>
  <si>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</si>
  <si>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</si>
  <si>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</si>
  <si>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</si>
  <si>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</si>
  <si>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</si>
  <si>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</si>
  <si>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</si>
  <si>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</si>
  <si>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</si>
  <si>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</si>
  <si>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</si>
  <si>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</si>
  <si>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</si>
  <si>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</si>
  <si>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</si>
  <si>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</si>
  <si>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</si>
  <si>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</si>
  <si>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</si>
  <si>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</si>
  <si>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</si>
  <si>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</si>
  <si>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</si>
  <si>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</si>
  <si>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</si>
  <si>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</si>
  <si>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</si>
  <si>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</si>
  <si>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</si>
  <si>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</si>
  <si>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</si>
  <si>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</si>
  <si>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</si>
  <si>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</si>
  <si>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</si>
  <si>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</si>
  <si>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</si>
  <si>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</si>
  <si>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</si>
  <si>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</si>
  <si>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</si>
  <si>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</si>
  <si>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</si>
  <si>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</si>
  <si>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</si>
  <si>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</si>
  <si>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</si>
  <si>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</si>
  <si>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</si>
  <si>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</si>
  <si>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</si>
  <si>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</si>
  <si>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</si>
  <si>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</si>
  <si>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</si>
  <si>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</si>
  <si>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</si>
  <si>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</si>
  <si>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</si>
  <si>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</si>
  <si>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</si>
  <si>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</si>
  <si>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</si>
  <si>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</si>
  <si>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</si>
  <si>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</si>
  <si>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</si>
  <si>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</si>
  <si>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</si>
  <si>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</si>
  <si>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</si>
  <si>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</si>
  <si>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</si>
  <si>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</si>
  <si>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</si>
  <si>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</si>
  <si>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</si>
  <si>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</si>
  <si>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</si>
  <si>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</si>
  <si>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</si>
  <si>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</si>
  <si>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</si>
  <si>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</si>
  <si>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</si>
  <si>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</si>
  <si>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</si>
  <si>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</si>
  <si>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</si>
  <si>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</si>
  <si>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</si>
  <si>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</si>
  <si>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</si>
  <si>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</si>
  <si>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</si>
  <si>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</si>
  <si>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</si>
  <si>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</si>
  <si>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</si>
  <si>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</si>
  <si>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</si>
  <si>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</si>
  <si>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</si>
  <si>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</si>
  <si>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</si>
  <si>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</si>
  <si>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</si>
  <si>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</si>
  <si>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</si>
  <si>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</si>
  <si>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</si>
  <si>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</si>
  <si>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</si>
  <si>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</si>
  <si>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</si>
  <si>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</si>
  <si>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</si>
  <si>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</si>
  <si>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</si>
  <si>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</si>
  <si>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</si>
  <si>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</si>
  <si>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</si>
  <si>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</si>
  <si>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</si>
  <si>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</si>
  <si>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</si>
  <si>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</si>
  <si>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</si>
  <si>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</si>
  <si>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</si>
  <si>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</si>
  <si>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</si>
  <si>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</si>
  <si>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</si>
  <si>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</si>
  <si>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</si>
  <si>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</si>
  <si>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</si>
  <si>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</si>
  <si>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</si>
  <si>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</si>
  <si>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</si>
  <si>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</si>
  <si>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</si>
  <si>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</si>
  <si>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</si>
  <si>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</si>
  <si>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</si>
  <si>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</si>
  <si>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</si>
  <si>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</si>
  <si>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</si>
  <si>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</si>
  <si>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</si>
  <si>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</si>
  <si>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</si>
  <si>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</si>
  <si>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</si>
  <si>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</si>
  <si>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</si>
  <si>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</si>
  <si>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</si>
  <si>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</si>
  <si>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</si>
  <si>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</si>
  <si>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</si>
  <si>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</si>
  <si>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</si>
  <si>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</si>
  <si>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</si>
  <si>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</si>
  <si>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</si>
  <si>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</si>
  <si>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</si>
  <si>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</si>
  <si>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</si>
  <si>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</si>
  <si>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</si>
  <si>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</si>
  <si>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</si>
  <si>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</si>
  <si>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</si>
  <si>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</si>
  <si>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</si>
  <si>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</si>
  <si>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</si>
  <si>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</si>
  <si>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</si>
  <si>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</si>
  <si>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</si>
  <si>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</si>
  <si>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</si>
  <si>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</si>
  <si>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</si>
  <si>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</si>
  <si>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</si>
  <si>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</si>
  <si>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</si>
  <si>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</si>
  <si>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</si>
  <si>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</si>
  <si>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</si>
  <si>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</si>
  <si>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</si>
  <si>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</si>
  <si>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</si>
  <si>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</si>
  <si>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</si>
  <si>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</si>
  <si>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</si>
  <si>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</si>
  <si>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</si>
  <si>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</si>
  <si>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</si>
  <si>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</si>
  <si>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</si>
  <si>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</si>
  <si>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</si>
  <si>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</si>
  <si>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</si>
  <si>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</si>
  <si>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</si>
  <si>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</si>
  <si>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</si>
  <si>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</si>
  <si>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</si>
  <si>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</si>
  <si>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</si>
  <si>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</si>
  <si>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</si>
  <si>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</si>
  <si>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</si>
  <si>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</si>
  <si>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</si>
  <si>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</si>
  <si>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</si>
  <si>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</si>
  <si>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</si>
  <si>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</si>
  <si>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</si>
  <si>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</si>
  <si>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</si>
  <si>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</si>
  <si>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</si>
  <si>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</si>
  <si>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</si>
  <si>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</si>
  <si>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</si>
  <si>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</si>
  <si>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</si>
  <si>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</si>
  <si>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</si>
  <si>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</si>
  <si>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</si>
  <si>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</si>
  <si>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</si>
  <si>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</si>
  <si>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</si>
  <si>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</si>
  <si>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</si>
  <si>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</si>
  <si>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</si>
  <si>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</si>
  <si>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</si>
  <si>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</si>
  <si>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</si>
  <si>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</si>
  <si>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</si>
  <si>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</si>
  <si>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</si>
  <si>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</si>
  <si>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</si>
  <si>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</si>
  <si>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</si>
  <si>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</si>
  <si>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</si>
  <si>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</si>
  <si>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</si>
  <si>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</si>
  <si>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</si>
  <si>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</si>
  <si>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</si>
  <si>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</si>
  <si>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</si>
  <si>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</si>
  <si>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</si>
  <si>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</si>
  <si>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</si>
  <si>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</si>
  <si>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</si>
  <si>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</si>
  <si>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</si>
  <si>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</si>
  <si>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</si>
  <si>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</si>
  <si>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</si>
  <si>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</si>
  <si>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</si>
  <si>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</si>
  <si>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</si>
  <si>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</si>
  <si>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</si>
  <si>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</si>
  <si>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</si>
  <si>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</si>
  <si>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</si>
  <si>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</si>
  <si>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</si>
  <si>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</si>
  <si>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</si>
  <si>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</si>
  <si>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</si>
  <si>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</si>
  <si>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</si>
  <si>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</si>
  <si>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</si>
  <si>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</si>
  <si>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</si>
  <si>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</si>
  <si>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</si>
  <si>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</si>
  <si>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</si>
  <si>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</si>
  <si>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</si>
  <si>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</si>
  <si>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</si>
  <si>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</si>
  <si>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</si>
  <si>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</si>
  <si>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</si>
  <si>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</si>
  <si>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</si>
  <si>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</si>
  <si>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</si>
  <si>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</si>
  <si>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</si>
  <si>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</si>
  <si>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</si>
  <si>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</si>
  <si>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</si>
  <si>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</si>
  <si>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</si>
  <si>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</si>
  <si>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</si>
  <si>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</si>
  <si>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</si>
  <si>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</si>
  <si>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</si>
  <si>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</si>
  <si>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</si>
  <si>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</si>
  <si>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</si>
  <si>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</si>
  <si>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</si>
  <si>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</si>
  <si>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</si>
  <si>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</si>
  <si>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</si>
  <si>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</si>
  <si>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</si>
  <si>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</si>
  <si>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</si>
  <si>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</si>
  <si>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</si>
  <si>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</si>
  <si>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</si>
  <si>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</si>
  <si>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</si>
  <si>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</si>
  <si>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</si>
  <si>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</si>
  <si>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</si>
  <si>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</si>
  <si>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</si>
  <si>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</si>
  <si>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</si>
  <si>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</si>
  <si>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</si>
  <si>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</si>
  <si>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</si>
  <si>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</si>
  <si>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</si>
  <si>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</si>
  <si>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</si>
  <si>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</si>
  <si>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</si>
  <si>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</si>
  <si>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</si>
  <si>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</si>
  <si>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</si>
  <si>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</si>
  <si>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</si>
  <si>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</si>
  <si>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</si>
  <si>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</si>
  <si>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</si>
  <si>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</si>
  <si>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</si>
  <si>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</si>
  <si>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</si>
  <si>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</si>
  <si>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</si>
  <si>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</si>
  <si>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</si>
  <si>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</si>
  <si>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</si>
  <si>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</si>
  <si>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</si>
  <si>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</si>
  <si>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</si>
  <si>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</si>
  <si>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</si>
  <si>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</si>
  <si>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</si>
  <si>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</si>
  <si>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</si>
  <si>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</si>
  <si>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</si>
  <si>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</si>
  <si>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</si>
  <si>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</si>
  <si>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</si>
  <si>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</si>
  <si>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</si>
  <si>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</si>
  <si>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</si>
  <si>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</si>
  <si>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</si>
  <si>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</si>
  <si>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</si>
  <si>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</si>
  <si>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</si>
  <si>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</si>
  <si>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</si>
  <si>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</si>
  <si>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</si>
  <si>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</si>
  <si>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</si>
  <si>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</si>
  <si>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</si>
  <si>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</si>
  <si>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</si>
  <si>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</si>
  <si>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</si>
  <si>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</si>
  <si>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</si>
  <si>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</si>
  <si>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</si>
  <si>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</si>
  <si>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</si>
  <si>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</si>
  <si>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</si>
  <si>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</si>
  <si>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</si>
  <si>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</si>
  <si>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</si>
  <si>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</si>
  <si>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</si>
  <si>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</si>
  <si>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</si>
  <si>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</si>
  <si>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</si>
  <si>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</si>
  <si>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</si>
  <si>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</si>
  <si>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</si>
  <si>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</si>
  <si>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</si>
  <si>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</si>
  <si>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</si>
  <si>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</si>
  <si>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</si>
  <si>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</si>
  <si>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</si>
  <si>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</si>
  <si>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</si>
  <si>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</si>
  <si>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</si>
  <si>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</si>
  <si>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</si>
  <si>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</si>
  <si>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</si>
  <si>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</si>
  <si>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</si>
  <si>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</si>
  <si>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</si>
  <si>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</si>
  <si>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</si>
  <si>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</si>
  <si>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</si>
  <si>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</si>
  <si>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</si>
  <si>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</si>
  <si>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</si>
  <si>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</si>
  <si>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</si>
  <si>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</si>
  <si>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</si>
  <si>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</si>
  <si>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</si>
  <si>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</si>
  <si>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</si>
  <si>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</si>
  <si>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</si>
  <si>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</si>
  <si>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</si>
  <si>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</si>
  <si>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</si>
  <si>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</si>
  <si>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</si>
  <si>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</si>
  <si>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</si>
  <si>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</si>
  <si>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</si>
  <si>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</si>
  <si>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</si>
  <si>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</si>
  <si>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</si>
  <si>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</si>
  <si>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</si>
  <si>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</si>
  <si>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</si>
  <si>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</si>
  <si>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</si>
  <si>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</si>
  <si>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</si>
  <si>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</si>
  <si>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</si>
  <si>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</si>
  <si>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</si>
  <si>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</si>
  <si>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</si>
  <si>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</si>
  <si>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</si>
  <si>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</si>
  <si>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</si>
  <si>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</si>
  <si>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</si>
  <si>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</si>
  <si>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</si>
  <si>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</si>
  <si>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</si>
  <si>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</si>
  <si>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</si>
  <si>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</si>
  <si>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</si>
  <si>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</si>
  <si>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</si>
  <si>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</si>
  <si>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</si>
  <si>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</si>
  <si>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</si>
  <si>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</si>
  <si>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</si>
  <si>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</si>
  <si>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</si>
  <si>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</si>
  <si>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</si>
  <si>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</si>
  <si>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</si>
  <si>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</si>
  <si>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</si>
  <si>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</si>
  <si>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</si>
  <si>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</si>
  <si>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</si>
  <si>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</si>
  <si>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</si>
  <si>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</si>
  <si>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</si>
  <si>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</si>
  <si>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</si>
  <si>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</si>
  <si>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</si>
  <si>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</si>
  <si>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</si>
  <si>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</si>
  <si>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</si>
  <si>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</si>
  <si>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</si>
  <si>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</si>
  <si>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</si>
  <si>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</si>
  <si>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</si>
  <si>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</si>
  <si>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</si>
  <si>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</si>
  <si>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</si>
  <si>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</si>
  <si>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</si>
  <si>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</si>
  <si>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</si>
  <si>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</si>
  <si>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</si>
  <si>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</si>
  <si>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</si>
  <si>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</si>
  <si>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</si>
  <si>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</si>
  <si>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</si>
  <si>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</si>
  <si>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</si>
  <si>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</si>
  <si>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</si>
  <si>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</si>
  <si>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</si>
  <si>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</si>
  <si>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</si>
  <si>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</si>
  <si>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</si>
  <si>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</si>
  <si>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</si>
  <si>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</si>
  <si>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</si>
  <si>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</si>
  <si>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</si>
  <si>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</si>
  <si>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</si>
  <si>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</si>
  <si>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</si>
  <si>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</si>
  <si>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</si>
  <si>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</si>
  <si>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</si>
  <si>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</si>
  <si>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</si>
  <si>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</si>
  <si>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</si>
  <si>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</si>
  <si>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</si>
  <si>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</si>
  <si>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</si>
  <si>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</si>
  <si>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</si>
  <si>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</si>
  <si>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</si>
  <si>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</si>
  <si>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</si>
  <si>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</si>
  <si>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</si>
  <si>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</si>
  <si>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</si>
  <si>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</si>
  <si>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</si>
  <si>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</si>
  <si>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</si>
  <si>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</si>
  <si>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</si>
  <si>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</si>
  <si>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</si>
  <si>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</si>
  <si>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</si>
  <si>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</si>
  <si>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</si>
  <si>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</si>
  <si>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</si>
  <si>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</si>
  <si>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</si>
  <si>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</si>
  <si>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</si>
  <si>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</si>
  <si>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</si>
  <si>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</si>
  <si>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</si>
  <si>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</si>
  <si>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</si>
  <si>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</si>
  <si>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</si>
  <si>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</si>
  <si>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</si>
  <si>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</si>
  <si>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</si>
  <si>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</si>
  <si>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</si>
  <si>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</si>
  <si>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</si>
  <si>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</si>
  <si>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</si>
  <si>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</si>
  <si>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</si>
  <si>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</si>
  <si>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</si>
  <si>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</si>
  <si>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</si>
  <si>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</si>
  <si>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</si>
  <si>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</si>
  <si>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</si>
  <si>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</si>
  <si>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</si>
  <si>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</si>
  <si>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</si>
  <si>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</si>
  <si>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</si>
  <si>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</si>
  <si>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</si>
  <si>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</si>
  <si>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</si>
  <si>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</si>
  <si>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</si>
  <si>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</si>
  <si>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</si>
  <si>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</si>
  <si>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</si>
  <si>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</si>
  <si>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</si>
  <si>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</si>
  <si>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</si>
  <si>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</si>
  <si>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</si>
  <si>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</si>
  <si>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</si>
  <si>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</si>
  <si>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</si>
  <si>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</si>
  <si>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</si>
  <si>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</si>
  <si>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</si>
  <si>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</si>
  <si>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</si>
  <si>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</si>
  <si>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</si>
  <si>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</si>
  <si>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</si>
  <si>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</si>
  <si>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</si>
  <si>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</si>
  <si>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</si>
  <si>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</si>
  <si>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</si>
  <si>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</si>
  <si>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</si>
  <si>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</si>
  <si>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</si>
  <si>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</si>
  <si>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</si>
  <si>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</si>
  <si>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</si>
  <si>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</si>
  <si>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</si>
  <si>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</si>
  <si>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</si>
  <si>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</si>
  <si>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</si>
  <si>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</si>
  <si>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</si>
  <si>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</si>
  <si>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</si>
  <si>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</si>
  <si>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</si>
  <si>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</si>
  <si>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</si>
  <si>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</si>
  <si>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</si>
  <si>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</si>
  <si>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</si>
  <si>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</si>
  <si>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</si>
  <si>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</si>
  <si>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</si>
  <si>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</si>
  <si>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</si>
  <si>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</si>
  <si>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</si>
  <si>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</si>
  <si>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</si>
  <si>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</si>
  <si>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</si>
  <si>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</si>
  <si>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</si>
  <si>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</si>
  <si>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</si>
  <si>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</si>
  <si>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</si>
  <si>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</si>
  <si>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</si>
  <si>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</si>
  <si>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</si>
  <si>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</si>
  <si>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</si>
  <si>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</si>
  <si>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</si>
  <si>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</si>
  <si>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</si>
  <si>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</si>
  <si>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</si>
  <si>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</si>
  <si>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</si>
  <si>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</si>
  <si>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</si>
  <si>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</si>
  <si>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</si>
  <si>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</si>
  <si>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</si>
  <si>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</si>
  <si>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</si>
  <si>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</si>
  <si>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</si>
  <si>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</si>
  <si>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</si>
  <si>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</si>
  <si>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</si>
  <si>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</si>
  <si>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</si>
  <si>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</si>
  <si>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</si>
  <si>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</si>
  <si>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</si>
  <si>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</si>
  <si>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</si>
  <si>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</si>
  <si>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</si>
  <si>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</si>
  <si>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</si>
  <si>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</si>
  <si>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</si>
  <si>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</si>
  <si>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</si>
  <si>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</si>
  <si>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</si>
  <si>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</si>
  <si>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</si>
  <si>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</si>
  <si>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</si>
  <si>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</si>
  <si>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</si>
  <si>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</si>
  <si>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</si>
  <si>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</si>
  <si>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</si>
  <si>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</si>
  <si>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</si>
  <si>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</si>
  <si>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</si>
  <si>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</si>
  <si>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</si>
  <si>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</si>
  <si>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</si>
  <si>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</si>
  <si>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</si>
  <si>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</si>
  <si>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</si>
  <si>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</si>
  <si>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</si>
  <si>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</si>
  <si>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</si>
  <si>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</si>
  <si>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</si>
  <si>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</si>
  <si>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</si>
  <si>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</si>
  <si>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</si>
  <si>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</si>
  <si>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</si>
  <si>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</si>
  <si>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</si>
  <si>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</si>
  <si>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</si>
  <si>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</si>
  <si>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</si>
  <si>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</si>
  <si>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</si>
  <si>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</si>
  <si>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</si>
  <si>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</si>
  <si>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</si>
  <si>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</si>
  <si>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</si>
  <si>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</si>
  <si>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</si>
  <si>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</si>
  <si>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</si>
  <si>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</si>
  <si>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</si>
  <si>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</si>
  <si>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</si>
  <si>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</si>
  <si>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</si>
  <si>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</si>
  <si>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</si>
  <si>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</si>
  <si>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</si>
  <si>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</si>
  <si>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</si>
  <si>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</si>
  <si>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</si>
  <si>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</si>
  <si>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</si>
  <si>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</si>
  <si>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</si>
  <si>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</si>
  <si>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</si>
  <si>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</si>
  <si>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</si>
  <si>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</si>
  <si>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</si>
  <si>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</si>
  <si>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</si>
  <si>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</si>
  <si>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</si>
  <si>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</si>
  <si>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</si>
  <si>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</si>
  <si>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</si>
  <si>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</si>
  <si>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</si>
  <si>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</si>
  <si>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</si>
  <si>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</si>
  <si>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</si>
  <si>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</si>
  <si>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</si>
  <si>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</si>
  <si>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</si>
  <si>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</si>
  <si>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</si>
  <si>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</si>
  <si>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</si>
  <si>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</si>
  <si>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</si>
  <si>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</si>
  <si>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</si>
  <si>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</si>
  <si>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</si>
  <si>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</si>
  <si>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</si>
  <si>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</si>
  <si>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</si>
  <si>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</si>
  <si>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</si>
  <si>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</si>
  <si>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</si>
  <si>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</si>
  <si>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</si>
  <si>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</si>
  <si>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</si>
  <si>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</si>
  <si>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</si>
  <si>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</si>
  <si>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</si>
  <si>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</si>
  <si>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</si>
  <si>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</si>
  <si>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</si>
  <si>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Inform about serverside map installation progress</t>
  </si>
  <si>
    <t>config_versions "cv_autoexec; cv_server;cv_gamemode_casual_server"</t>
  </si>
  <si>
    <t>Console meldet, dass sie die Variable nicht kennt. War: Auto-start Killer Replay when available</t>
  </si>
  <si>
    <t>Our Comment</t>
  </si>
  <si>
    <t>Full Comment</t>
  </si>
  <si>
    <t>Add original help text</t>
  </si>
  <si>
    <t>Required for kill cam.</t>
  </si>
  <si>
    <t>Client only, Server meldet "Unknown command"</t>
  </si>
  <si>
    <t>Prints the version of this config to the screen</t>
  </si>
  <si>
    <t>cv_gamemode_casual_server "say gamemode_casual_server.cfg v%DATE_TIME%"</t>
  </si>
  <si>
    <t>cv_server "say server.cfg v%DATE_TIME%"</t>
  </si>
  <si>
    <t>cv_autoexec "say autoexec.cfg v%DATE_TIME%"</t>
  </si>
  <si>
    <t>Prints the versions of the relevant config files to the screen</t>
  </si>
  <si>
    <t>kif_commands.cfg</t>
  </si>
  <si>
    <t>%STEAM_WORKSHOP_COLLECTION_ID%</t>
  </si>
  <si>
    <t>mapchange.cfg</t>
  </si>
  <si>
    <t>Execute the mapchange convenience aliases. Create the file with `csgenmapchange`</t>
  </si>
  <si>
    <t>What to play</t>
  </si>
  <si>
    <t>Start with cs_office (id must fit to a map which is part of the above collection)</t>
  </si>
  <si>
    <t>The servers workshop map collection. See https://steamcommunity.com/sharedfiles/filedetails/?id=%STEAM_WORKSHOP_COLLECTION_ID%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</si>
</sst>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1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3153"/>
  <sheetViews>
    <sheetView topLeftCell="D1" workbookViewId="0">
      <pane ySplit="1" topLeftCell="A906" activePane="bottomLeft" state="frozen"/>
      <selection pane="bottomLeft" activeCell="F924" sqref="F924"/>
    </sheetView>
  </sheetViews>
  <sheetFormatPr baseColWidth="10" defaultRowHeight="15" x14ac:dyDescent="0.25"/>
  <cols>
    <col min="3" max="3" width="57.28515625" bestFit="1" customWidth="1"/>
    <col min="5" max="5" width="50.42578125" customWidth="1"/>
    <col min="6" max="6" width="62.85546875" customWidth="1"/>
    <col min="7" max="7" width="14.28515625" customWidth="1"/>
    <col min="8" max="8" width="55.85546875" customWidth="1"/>
  </cols>
  <sheetData>
    <row r="1" spans="1:27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5498</v>
      </c>
      <c r="G1" t="s">
        <v>5500</v>
      </c>
      <c r="H1" t="s">
        <v>5499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</row>
    <row r="2" spans="1:27" x14ac:dyDescent="0.25">
      <c r="A2" t="s">
        <v>5251</v>
      </c>
      <c r="C2" t="s">
        <v>22</v>
      </c>
      <c r="D2">
        <v>0</v>
      </c>
      <c r="H2">
        <f>IF(F2="",E2, F2 &amp; " - Original Helptext: " &amp;E2)</f>
        <v>0</v>
      </c>
      <c r="I2" t="s">
        <v>2</v>
      </c>
    </row>
    <row r="3" spans="1:27" x14ac:dyDescent="0.25">
      <c r="A3" t="s">
        <v>5251</v>
      </c>
      <c r="C3" t="s">
        <v>23</v>
      </c>
      <c r="D3">
        <v>0</v>
      </c>
      <c r="H3">
        <f t="shared" ref="H3:H66" si="0">IF(F3="",E3, F3 &amp; " - Original Helptext: " &amp;E3)</f>
        <v>0</v>
      </c>
      <c r="L3" t="s">
        <v>5</v>
      </c>
    </row>
    <row r="4" spans="1:27" x14ac:dyDescent="0.25">
      <c r="A4" t="s">
        <v>5251</v>
      </c>
      <c r="C4" t="s">
        <v>24</v>
      </c>
      <c r="D4" t="s">
        <v>25</v>
      </c>
      <c r="E4" t="s">
        <v>26</v>
      </c>
      <c r="H4" t="str">
        <f t="shared" si="0"/>
        <v>Autosave</v>
      </c>
    </row>
    <row r="5" spans="1:27" x14ac:dyDescent="0.25">
      <c r="A5" t="s">
        <v>5251</v>
      </c>
      <c r="C5" t="s">
        <v>27</v>
      </c>
      <c r="D5" t="s">
        <v>25</v>
      </c>
      <c r="E5" t="s">
        <v>28</v>
      </c>
      <c r="H5" t="str">
        <f t="shared" si="0"/>
        <v>AutoSaveDangerous</v>
      </c>
    </row>
    <row r="6" spans="1:27" x14ac:dyDescent="0.25">
      <c r="A6" t="s">
        <v>5251</v>
      </c>
      <c r="C6" t="s">
        <v>29</v>
      </c>
      <c r="D6" t="s">
        <v>25</v>
      </c>
      <c r="E6" t="s">
        <v>30</v>
      </c>
      <c r="H6" t="str">
        <f t="shared" si="0"/>
        <v>Restarts bug reporter .dll</v>
      </c>
    </row>
    <row r="7" spans="1:27" x14ac:dyDescent="0.25">
      <c r="A7" t="s">
        <v>5251</v>
      </c>
      <c r="C7" t="s">
        <v>31</v>
      </c>
      <c r="D7" t="s">
        <v>25</v>
      </c>
      <c r="E7" t="s">
        <v>32</v>
      </c>
      <c r="H7" t="str">
        <f t="shared" si="0"/>
        <v>Record a demo incrementally.</v>
      </c>
    </row>
    <row r="8" spans="1:27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  <c r="H8" t="str">
        <f t="shared" si="0"/>
        <v>Erases current game stats and writes out a blank stats file</v>
      </c>
    </row>
    <row r="9" spans="1:27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  <c r="H9" t="str">
        <f t="shared" si="0"/>
        <v>Shutdown and restart the engine.</v>
      </c>
    </row>
    <row r="10" spans="1:27" x14ac:dyDescent="0.25">
      <c r="A10" t="s">
        <v>5251</v>
      </c>
      <c r="C10" t="s">
        <v>37</v>
      </c>
      <c r="D10">
        <v>0</v>
      </c>
      <c r="E10" t="s">
        <v>38</v>
      </c>
      <c r="H10" t="str">
        <f t="shared" si="0"/>
        <v>Turn on achievement debug msgs.</v>
      </c>
      <c r="L10" t="s">
        <v>5</v>
      </c>
      <c r="S10" t="s">
        <v>12</v>
      </c>
      <c r="X10" t="s">
        <v>17</v>
      </c>
    </row>
    <row r="11" spans="1:27" x14ac:dyDescent="0.25">
      <c r="A11" t="s">
        <v>5251</v>
      </c>
      <c r="C11" t="s">
        <v>39</v>
      </c>
      <c r="D11">
        <v>0</v>
      </c>
      <c r="E11" t="s">
        <v>40</v>
      </c>
      <c r="H11" t="str">
        <f t="shared" si="0"/>
        <v>Turn off achievements.</v>
      </c>
      <c r="L11" t="s">
        <v>5</v>
      </c>
      <c r="S11" t="s">
        <v>12</v>
      </c>
      <c r="X11" t="s">
        <v>17</v>
      </c>
    </row>
    <row r="12" spans="1:27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  <c r="H12" t="str">
        <f t="shared" si="0"/>
        <v>Add an IP address to the ban list.</v>
      </c>
    </row>
    <row r="13" spans="1:27" x14ac:dyDescent="0.25">
      <c r="A13" t="s">
        <v>5251</v>
      </c>
      <c r="C13" t="s">
        <v>43</v>
      </c>
      <c r="D13">
        <v>0</v>
      </c>
      <c r="H13">
        <f t="shared" si="0"/>
        <v>0</v>
      </c>
      <c r="I13" t="s">
        <v>2</v>
      </c>
    </row>
    <row r="14" spans="1:27" x14ac:dyDescent="0.25">
      <c r="A14" t="s">
        <v>5251</v>
      </c>
      <c r="C14" t="s">
        <v>44</v>
      </c>
      <c r="D14" t="s">
        <v>25</v>
      </c>
      <c r="H14">
        <f t="shared" si="0"/>
        <v>0</v>
      </c>
    </row>
    <row r="15" spans="1:27" x14ac:dyDescent="0.25">
      <c r="A15" t="s">
        <v>5251</v>
      </c>
      <c r="C15" t="s">
        <v>45</v>
      </c>
      <c r="D15" t="s">
        <v>25</v>
      </c>
      <c r="E15" t="s">
        <v>46</v>
      </c>
      <c r="H15" t="str">
        <f t="shared" si="0"/>
        <v xml:space="preserve">Clears bits set on nav links indicating link is unusable </v>
      </c>
    </row>
    <row r="16" spans="1:27" x14ac:dyDescent="0.25">
      <c r="A16" t="s">
        <v>5251</v>
      </c>
      <c r="C16" t="s">
        <v>47</v>
      </c>
      <c r="D16">
        <v>0</v>
      </c>
      <c r="E16" t="s">
        <v>48</v>
      </c>
      <c r="H16" t="str">
        <f t="shared" si="0"/>
        <v>NPC Line-Of-Sight debug mode. If 1, solid entities that block NPC LOC will be highlighted with white bounding boxes. If 2, it'l</v>
      </c>
      <c r="K16" t="s">
        <v>4</v>
      </c>
      <c r="L16" t="s">
        <v>5</v>
      </c>
    </row>
    <row r="17" spans="1:24" x14ac:dyDescent="0.25">
      <c r="A17" t="s">
        <v>5251</v>
      </c>
      <c r="C17" t="s">
        <v>49</v>
      </c>
      <c r="D17" t="s">
        <v>25</v>
      </c>
      <c r="E17" t="s">
        <v>50</v>
      </c>
      <c r="H17" t="str">
        <f t="shared" si="0"/>
        <v>Debug the attempted connection between two nodes</v>
      </c>
    </row>
    <row r="18" spans="1:24" x14ac:dyDescent="0.25">
      <c r="A18" t="s">
        <v>5251</v>
      </c>
      <c r="C18" t="s">
        <v>51</v>
      </c>
      <c r="D18">
        <v>0</v>
      </c>
      <c r="H18">
        <f t="shared" si="0"/>
        <v>0</v>
      </c>
      <c r="L18" t="s">
        <v>5</v>
      </c>
      <c r="S18" t="s">
        <v>12</v>
      </c>
      <c r="X18" t="s">
        <v>17</v>
      </c>
    </row>
    <row r="19" spans="1:24" x14ac:dyDescent="0.25">
      <c r="A19" t="s">
        <v>5251</v>
      </c>
      <c r="C19" t="s">
        <v>52</v>
      </c>
      <c r="D19" t="s">
        <v>25</v>
      </c>
      <c r="E19" t="s">
        <v>53</v>
      </c>
      <c r="H19" t="str">
        <f t="shared" si="0"/>
        <v>Bi-passes all AI logic routines and puts all NPCs into their idle animations.  Can be used to get NPCs out of your way and to t</v>
      </c>
    </row>
    <row r="20" spans="1:24" x14ac:dyDescent="0.25">
      <c r="A20" t="s">
        <v>5251</v>
      </c>
      <c r="C20" t="s">
        <v>54</v>
      </c>
      <c r="D20">
        <v>0</v>
      </c>
      <c r="H20">
        <f t="shared" si="0"/>
        <v>0</v>
      </c>
      <c r="K20" t="s">
        <v>4</v>
      </c>
      <c r="L20" t="s">
        <v>5</v>
      </c>
    </row>
    <row r="21" spans="1:24" x14ac:dyDescent="0.25">
      <c r="A21" t="s">
        <v>5251</v>
      </c>
      <c r="C21" t="s">
        <v>55</v>
      </c>
      <c r="D21" t="s">
        <v>25</v>
      </c>
      <c r="E21" t="s">
        <v>56</v>
      </c>
      <c r="H21" t="str">
        <f t="shared" si="0"/>
        <v>Drop an ai_hint at the player's current eye position.</v>
      </c>
    </row>
    <row r="22" spans="1:24" x14ac:dyDescent="0.25">
      <c r="A22" t="s">
        <v>5251</v>
      </c>
      <c r="C22" t="s">
        <v>57</v>
      </c>
      <c r="D22" t="s">
        <v>25</v>
      </c>
      <c r="H22">
        <f t="shared" si="0"/>
        <v>0</v>
      </c>
    </row>
    <row r="23" spans="1:24" x14ac:dyDescent="0.25">
      <c r="A23" t="s">
        <v>5251</v>
      </c>
      <c r="C23" t="s">
        <v>58</v>
      </c>
      <c r="D23" t="s">
        <v>25</v>
      </c>
      <c r="E23" t="s">
        <v>5162</v>
      </c>
      <c r="H23" t="str">
        <f t="shared" si="0"/>
        <v xml:space="preserve">Controls which connections are shown when ai_show_hull or ai_show_connect commands are used 	Arguments:	NPC name or classname, </v>
      </c>
    </row>
    <row r="24" spans="1:24" x14ac:dyDescent="0.25">
      <c r="A24" t="s">
        <v>5251</v>
      </c>
      <c r="C24" t="s">
        <v>59</v>
      </c>
      <c r="D24" t="s">
        <v>25</v>
      </c>
      <c r="E24" t="s">
        <v>60</v>
      </c>
      <c r="H24" t="str">
        <f t="shared" si="0"/>
        <v xml:space="preserve">Cycles through the various hull sizes.  Currently selected hull size is written to the screen.  Controls which connections are </v>
      </c>
    </row>
    <row r="25" spans="1:24" x14ac:dyDescent="0.25">
      <c r="A25" t="s">
        <v>5251</v>
      </c>
      <c r="C25" t="s">
        <v>61</v>
      </c>
      <c r="D25" t="s">
        <v>25</v>
      </c>
      <c r="E25" t="s">
        <v>62</v>
      </c>
      <c r="H25" t="str">
        <f t="shared" si="0"/>
        <v>Toggles node display.  First call displays the nodes for the given network as green objects.  Second call  displays the nodes a</v>
      </c>
    </row>
    <row r="26" spans="1:24" x14ac:dyDescent="0.25">
      <c r="A26" t="s">
        <v>5251</v>
      </c>
      <c r="C26" t="s">
        <v>63</v>
      </c>
      <c r="D26">
        <v>0</v>
      </c>
      <c r="H26">
        <f t="shared" si="0"/>
        <v>0</v>
      </c>
      <c r="I26" t="s">
        <v>2</v>
      </c>
      <c r="K26" t="s">
        <v>4</v>
      </c>
    </row>
    <row r="27" spans="1:24" x14ac:dyDescent="0.25">
      <c r="A27" t="s">
        <v>5251</v>
      </c>
      <c r="C27" t="s">
        <v>64</v>
      </c>
      <c r="D27" t="s">
        <v>25</v>
      </c>
      <c r="E27" t="s">
        <v>65</v>
      </c>
      <c r="H27" t="str">
        <f t="shared" si="0"/>
        <v>If NPC is stepping through tasks (see ai_step ) will resume normal processing.</v>
      </c>
    </row>
    <row r="28" spans="1:24" x14ac:dyDescent="0.25">
      <c r="A28" t="s">
        <v>5251</v>
      </c>
      <c r="C28" t="s">
        <v>66</v>
      </c>
      <c r="D28" t="s">
        <v>25</v>
      </c>
      <c r="E28" t="s">
        <v>67</v>
      </c>
      <c r="H28" t="str">
        <f t="shared" si="0"/>
        <v>Set how high AI bumps up ground walkers when checking steps</v>
      </c>
    </row>
    <row r="29" spans="1:24" x14ac:dyDescent="0.25">
      <c r="A29" t="s">
        <v>5251</v>
      </c>
      <c r="C29" t="s">
        <v>68</v>
      </c>
      <c r="D29" t="s">
        <v>25</v>
      </c>
      <c r="E29" t="s">
        <v>69</v>
      </c>
      <c r="H29" t="str">
        <f t="shared" si="0"/>
        <v>Like ai_disable but you manually specify the state (with a 0 or 1) instead of toggling it.</v>
      </c>
    </row>
    <row r="30" spans="1:24" x14ac:dyDescent="0.25">
      <c r="A30" t="s">
        <v>5251</v>
      </c>
      <c r="C30" t="s">
        <v>70</v>
      </c>
      <c r="D30" t="s">
        <v>25</v>
      </c>
      <c r="E30" t="s">
        <v>5163</v>
      </c>
      <c r="H30" t="str">
        <f t="shared" si="0"/>
        <v>Displays the allowed connections between each node for the currently selected hull type.  Hulls are color code as follows: 	Gre</v>
      </c>
    </row>
    <row r="31" spans="1:24" x14ac:dyDescent="0.25">
      <c r="A31" t="s">
        <v>5251</v>
      </c>
      <c r="C31" t="s">
        <v>71</v>
      </c>
      <c r="D31" t="s">
        <v>25</v>
      </c>
      <c r="E31" t="s">
        <v>5163</v>
      </c>
      <c r="H31" t="str">
        <f t="shared" si="0"/>
        <v>Displays the allowed connections between each node for the currently selected hull type.  Hulls are color code as follows: 	Gre</v>
      </c>
    </row>
    <row r="32" spans="1:24" x14ac:dyDescent="0.25">
      <c r="A32" t="s">
        <v>5251</v>
      </c>
      <c r="C32" t="s">
        <v>72</v>
      </c>
      <c r="D32" t="s">
        <v>25</v>
      </c>
      <c r="E32" t="s">
        <v>5163</v>
      </c>
      <c r="H32" t="str">
        <f t="shared" si="0"/>
        <v>Displays the allowed connections between each node for the currently selected hull type.  Hulls are color code as follows: 	Gre</v>
      </c>
    </row>
    <row r="33" spans="1:12" x14ac:dyDescent="0.25">
      <c r="A33" t="s">
        <v>5251</v>
      </c>
      <c r="C33" t="s">
        <v>73</v>
      </c>
      <c r="D33" t="s">
        <v>25</v>
      </c>
      <c r="E33" t="s">
        <v>5163</v>
      </c>
      <c r="H33" t="str">
        <f t="shared" si="0"/>
        <v>Displays the allowed connections between each node for the currently selected hull type.  Hulls are color code as follows: 	Gre</v>
      </c>
    </row>
    <row r="34" spans="1:12" x14ac:dyDescent="0.25">
      <c r="A34" t="s">
        <v>5251</v>
      </c>
      <c r="C34" t="s">
        <v>74</v>
      </c>
      <c r="D34" t="s">
        <v>25</v>
      </c>
      <c r="E34" t="s">
        <v>75</v>
      </c>
      <c r="H34" t="str">
        <f t="shared" si="0"/>
        <v xml:space="preserve">Toggles graph connection display for the node that the player is looking at.  Nodes that are connected to the selected node by </v>
      </c>
    </row>
    <row r="35" spans="1:12" x14ac:dyDescent="0.25">
      <c r="A35" t="s">
        <v>5251</v>
      </c>
      <c r="C35" t="s">
        <v>76</v>
      </c>
      <c r="D35" t="s">
        <v>25</v>
      </c>
      <c r="E35" t="s">
        <v>77</v>
      </c>
      <c r="H35" t="str">
        <f t="shared" si="0"/>
        <v>Draw a grid on the floor where looking.</v>
      </c>
    </row>
    <row r="36" spans="1:12" x14ac:dyDescent="0.25">
      <c r="A36" t="s">
        <v>5251</v>
      </c>
      <c r="C36" t="s">
        <v>78</v>
      </c>
      <c r="D36" t="s">
        <v>25</v>
      </c>
      <c r="E36" t="s">
        <v>5164</v>
      </c>
      <c r="H36" t="str">
        <f t="shared" si="0"/>
        <v xml:space="preserve">Displays all hints as small boxes 	Blue		- hint is available for use 	Red		- hint is currently being used by an NPC 	Orange		- </v>
      </c>
    </row>
    <row r="37" spans="1:12" x14ac:dyDescent="0.25">
      <c r="A37" t="s">
        <v>5251</v>
      </c>
      <c r="C37" t="s">
        <v>79</v>
      </c>
      <c r="D37" t="s">
        <v>25</v>
      </c>
      <c r="E37" t="s">
        <v>5165</v>
      </c>
      <c r="H37" t="str">
        <f t="shared" si="0"/>
        <v xml:space="preserve">Displays the allowed hulls between each node for the currently selected hull type.  Hulls are color code as follows: 	Green		- </v>
      </c>
    </row>
    <row r="38" spans="1:12" x14ac:dyDescent="0.25">
      <c r="A38" t="s">
        <v>5251</v>
      </c>
      <c r="C38" t="s">
        <v>80</v>
      </c>
      <c r="D38" t="s">
        <v>25</v>
      </c>
      <c r="E38" t="s">
        <v>81</v>
      </c>
      <c r="H38" t="str">
        <f t="shared" si="0"/>
        <v>Highlight the specified node</v>
      </c>
    </row>
    <row r="39" spans="1:12" x14ac:dyDescent="0.25">
      <c r="A39" t="s">
        <v>5251</v>
      </c>
      <c r="C39" t="s">
        <v>82</v>
      </c>
      <c r="D39" t="s">
        <v>25</v>
      </c>
      <c r="E39" t="s">
        <v>83</v>
      </c>
      <c r="H39" t="str">
        <f t="shared" si="0"/>
        <v>Toggles visibility display for the node that the player is looking at.  Nodes that are visible from the selected node will be d</v>
      </c>
    </row>
    <row r="40" spans="1:12" x14ac:dyDescent="0.25">
      <c r="A40" t="s">
        <v>5251</v>
      </c>
      <c r="C40" t="s">
        <v>84</v>
      </c>
      <c r="D40" t="s">
        <v>25</v>
      </c>
      <c r="E40" t="s">
        <v>85</v>
      </c>
      <c r="H40" t="str">
        <f t="shared" si="0"/>
        <v>NPCs will freeze after completing their current task.  To complete the next task, use 'ai_step' again.  To resume processing no</v>
      </c>
    </row>
    <row r="41" spans="1:12" x14ac:dyDescent="0.25">
      <c r="A41" t="s">
        <v>5251</v>
      </c>
      <c r="C41" t="s">
        <v>86</v>
      </c>
      <c r="D41" t="s">
        <v>25</v>
      </c>
      <c r="E41" t="s">
        <v>87</v>
      </c>
      <c r="H41" t="str">
        <f t="shared" si="0"/>
        <v>Test AI LOS from the player's POV</v>
      </c>
    </row>
    <row r="42" spans="1:12" x14ac:dyDescent="0.25">
      <c r="A42" t="s">
        <v>5251</v>
      </c>
      <c r="C42" t="s">
        <v>88</v>
      </c>
      <c r="D42">
        <v>0</v>
      </c>
      <c r="H42">
        <f t="shared" si="0"/>
        <v>0</v>
      </c>
      <c r="I42" t="s">
        <v>2</v>
      </c>
      <c r="K42" t="s">
        <v>4</v>
      </c>
    </row>
    <row r="43" spans="1:12" x14ac:dyDescent="0.25">
      <c r="A43" t="s">
        <v>5251</v>
      </c>
      <c r="C43" t="s">
        <v>89</v>
      </c>
      <c r="D43">
        <v>1</v>
      </c>
      <c r="H43">
        <f t="shared" si="0"/>
        <v>0</v>
      </c>
      <c r="K43" t="s">
        <v>4</v>
      </c>
      <c r="L43" t="s">
        <v>5</v>
      </c>
    </row>
    <row r="44" spans="1:12" x14ac:dyDescent="0.25">
      <c r="A44" t="s">
        <v>5251</v>
      </c>
      <c r="C44" t="s">
        <v>90</v>
      </c>
      <c r="D44" t="s">
        <v>25</v>
      </c>
      <c r="E44" t="s">
        <v>91</v>
      </c>
      <c r="H44" t="str">
        <f t="shared" si="0"/>
        <v>Generate a report to the console.</v>
      </c>
    </row>
    <row r="45" spans="1:12" x14ac:dyDescent="0.25">
      <c r="A45" t="s">
        <v>5251</v>
      </c>
      <c r="C45" t="s">
        <v>92</v>
      </c>
      <c r="D45" t="s">
        <v>25</v>
      </c>
      <c r="E45" t="s">
        <v>91</v>
      </c>
      <c r="H45" t="str">
        <f t="shared" si="0"/>
        <v>Generate a report to the console.</v>
      </c>
    </row>
    <row r="46" spans="1:12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  <c r="H46" t="str">
        <f t="shared" si="0"/>
        <v>Changes the density of air for drag computations.</v>
      </c>
    </row>
    <row r="47" spans="1:12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  <c r="H47" t="str">
        <f t="shared" si="0"/>
        <v>Alias a command.</v>
      </c>
    </row>
    <row r="48" spans="1:12" x14ac:dyDescent="0.25">
      <c r="A48" t="s">
        <v>5251</v>
      </c>
      <c r="B48" t="s">
        <v>5255</v>
      </c>
      <c r="C48" t="s">
        <v>97</v>
      </c>
      <c r="D48" t="s">
        <v>25</v>
      </c>
      <c r="H48">
        <f t="shared" si="0"/>
        <v>0</v>
      </c>
    </row>
    <row r="49" spans="1:24" x14ac:dyDescent="0.25">
      <c r="A49" t="s">
        <v>5251</v>
      </c>
      <c r="B49" t="s">
        <v>5255</v>
      </c>
      <c r="C49" t="s">
        <v>98</v>
      </c>
      <c r="D49" t="s">
        <v>25</v>
      </c>
      <c r="H49">
        <f t="shared" si="0"/>
        <v>0</v>
      </c>
    </row>
    <row r="50" spans="1:24" x14ac:dyDescent="0.25">
      <c r="A50" t="s">
        <v>5251</v>
      </c>
      <c r="B50" t="s">
        <v>5255</v>
      </c>
      <c r="C50" t="s">
        <v>99</v>
      </c>
      <c r="D50" t="s">
        <v>25</v>
      </c>
      <c r="H50">
        <f t="shared" si="0"/>
        <v>0</v>
      </c>
    </row>
    <row r="51" spans="1:24" x14ac:dyDescent="0.25">
      <c r="A51" t="s">
        <v>5251</v>
      </c>
      <c r="B51" t="s">
        <v>5255</v>
      </c>
      <c r="C51" t="s">
        <v>100</v>
      </c>
      <c r="D51" t="s">
        <v>25</v>
      </c>
      <c r="H51">
        <f t="shared" si="0"/>
        <v>0</v>
      </c>
    </row>
    <row r="52" spans="1:24" x14ac:dyDescent="0.25">
      <c r="A52" t="s">
        <v>5253</v>
      </c>
      <c r="B52" t="s">
        <v>5257</v>
      </c>
      <c r="C52" t="s">
        <v>101</v>
      </c>
      <c r="D52">
        <v>30</v>
      </c>
      <c r="H52">
        <f t="shared" si="0"/>
        <v>0</v>
      </c>
      <c r="S52" t="s">
        <v>12</v>
      </c>
      <c r="X52" t="s">
        <v>17</v>
      </c>
    </row>
    <row r="53" spans="1:24" x14ac:dyDescent="0.25">
      <c r="A53" t="s">
        <v>5253</v>
      </c>
      <c r="B53" t="s">
        <v>5257</v>
      </c>
      <c r="C53" t="s">
        <v>102</v>
      </c>
      <c r="D53">
        <v>52</v>
      </c>
      <c r="H53">
        <f t="shared" si="0"/>
        <v>0</v>
      </c>
      <c r="S53" t="s">
        <v>12</v>
      </c>
      <c r="X53" t="s">
        <v>17</v>
      </c>
    </row>
    <row r="54" spans="1:24" x14ac:dyDescent="0.25">
      <c r="A54" t="s">
        <v>5253</v>
      </c>
      <c r="B54" t="s">
        <v>5257</v>
      </c>
      <c r="C54" t="s">
        <v>103</v>
      </c>
      <c r="D54">
        <v>12</v>
      </c>
      <c r="H54">
        <f t="shared" si="0"/>
        <v>0</v>
      </c>
      <c r="S54" t="s">
        <v>12</v>
      </c>
      <c r="X54" t="s">
        <v>17</v>
      </c>
    </row>
    <row r="55" spans="1:24" x14ac:dyDescent="0.25">
      <c r="A55" t="s">
        <v>5253</v>
      </c>
      <c r="B55" t="s">
        <v>5257</v>
      </c>
      <c r="C55" t="s">
        <v>104</v>
      </c>
      <c r="D55">
        <v>26</v>
      </c>
      <c r="H55">
        <f t="shared" si="0"/>
        <v>0</v>
      </c>
      <c r="S55" t="s">
        <v>12</v>
      </c>
      <c r="X55" t="s">
        <v>17</v>
      </c>
    </row>
    <row r="56" spans="1:24" x14ac:dyDescent="0.25">
      <c r="A56" t="s">
        <v>5253</v>
      </c>
      <c r="B56" t="s">
        <v>5257</v>
      </c>
      <c r="C56" t="s">
        <v>105</v>
      </c>
      <c r="D56">
        <v>24</v>
      </c>
      <c r="H56">
        <f t="shared" si="0"/>
        <v>0</v>
      </c>
      <c r="S56" t="s">
        <v>12</v>
      </c>
      <c r="X56" t="s">
        <v>17</v>
      </c>
    </row>
    <row r="57" spans="1:24" x14ac:dyDescent="0.25">
      <c r="A57" t="s">
        <v>5253</v>
      </c>
      <c r="B57" t="s">
        <v>5257</v>
      </c>
      <c r="C57" t="s">
        <v>106</v>
      </c>
      <c r="D57">
        <v>100</v>
      </c>
      <c r="H57">
        <f t="shared" si="0"/>
        <v>0</v>
      </c>
      <c r="S57" t="s">
        <v>12</v>
      </c>
      <c r="X57" t="s">
        <v>17</v>
      </c>
    </row>
    <row r="58" spans="1:24" x14ac:dyDescent="0.25">
      <c r="A58" t="s">
        <v>5253</v>
      </c>
      <c r="B58" t="s">
        <v>5257</v>
      </c>
      <c r="C58" t="s">
        <v>107</v>
      </c>
      <c r="D58">
        <v>35</v>
      </c>
      <c r="H58">
        <f t="shared" si="0"/>
        <v>0</v>
      </c>
      <c r="S58" t="s">
        <v>12</v>
      </c>
      <c r="X58" t="s">
        <v>17</v>
      </c>
    </row>
    <row r="59" spans="1:24" x14ac:dyDescent="0.25">
      <c r="A59" t="s">
        <v>5253</v>
      </c>
      <c r="B59" t="s">
        <v>5257</v>
      </c>
      <c r="C59" t="s">
        <v>108</v>
      </c>
      <c r="D59">
        <v>200</v>
      </c>
      <c r="H59">
        <f t="shared" si="0"/>
        <v>0</v>
      </c>
      <c r="S59" t="s">
        <v>12</v>
      </c>
      <c r="X59" t="s">
        <v>17</v>
      </c>
    </row>
    <row r="60" spans="1:24" x14ac:dyDescent="0.25">
      <c r="A60" t="s">
        <v>5253</v>
      </c>
      <c r="B60" t="s">
        <v>5257</v>
      </c>
      <c r="C60" t="s">
        <v>109</v>
      </c>
      <c r="D60">
        <v>90</v>
      </c>
      <c r="H60">
        <f t="shared" si="0"/>
        <v>0</v>
      </c>
      <c r="S60" t="s">
        <v>12</v>
      </c>
      <c r="X60" t="s">
        <v>17</v>
      </c>
    </row>
    <row r="61" spans="1:24" x14ac:dyDescent="0.25">
      <c r="A61" t="s">
        <v>5253</v>
      </c>
      <c r="B61" t="s">
        <v>5257</v>
      </c>
      <c r="C61" t="s">
        <v>110</v>
      </c>
      <c r="D61">
        <v>40</v>
      </c>
      <c r="H61">
        <f t="shared" si="0"/>
        <v>0</v>
      </c>
      <c r="S61" t="s">
        <v>12</v>
      </c>
      <c r="X61" t="s">
        <v>17</v>
      </c>
    </row>
    <row r="62" spans="1:24" x14ac:dyDescent="0.25">
      <c r="A62" t="s">
        <v>5253</v>
      </c>
      <c r="B62" t="s">
        <v>5257</v>
      </c>
      <c r="C62" t="s">
        <v>111</v>
      </c>
      <c r="D62">
        <v>100</v>
      </c>
      <c r="H62">
        <f t="shared" si="0"/>
        <v>0</v>
      </c>
      <c r="S62" t="s">
        <v>12</v>
      </c>
      <c r="X62" t="s">
        <v>17</v>
      </c>
    </row>
    <row r="63" spans="1:24" x14ac:dyDescent="0.25">
      <c r="A63" t="s">
        <v>5253</v>
      </c>
      <c r="B63" t="s">
        <v>5257</v>
      </c>
      <c r="C63" t="s">
        <v>112</v>
      </c>
      <c r="D63">
        <v>90</v>
      </c>
      <c r="H63">
        <f t="shared" si="0"/>
        <v>0</v>
      </c>
      <c r="S63" t="s">
        <v>12</v>
      </c>
      <c r="X63" t="s">
        <v>17</v>
      </c>
    </row>
    <row r="64" spans="1:24" x14ac:dyDescent="0.25">
      <c r="A64" t="s">
        <v>5253</v>
      </c>
      <c r="B64" t="s">
        <v>5257</v>
      </c>
      <c r="C64" t="s">
        <v>113</v>
      </c>
      <c r="D64">
        <v>120</v>
      </c>
      <c r="H64">
        <f t="shared" si="0"/>
        <v>0</v>
      </c>
      <c r="S64" t="s">
        <v>12</v>
      </c>
      <c r="X64" t="s">
        <v>17</v>
      </c>
    </row>
    <row r="65" spans="1:24" x14ac:dyDescent="0.25">
      <c r="A65" t="s">
        <v>5253</v>
      </c>
      <c r="B65" t="s">
        <v>5257</v>
      </c>
      <c r="C65" t="s">
        <v>114</v>
      </c>
      <c r="D65">
        <v>32</v>
      </c>
      <c r="H65">
        <f t="shared" si="0"/>
        <v>0</v>
      </c>
      <c r="S65" t="s">
        <v>12</v>
      </c>
      <c r="X65" t="s">
        <v>17</v>
      </c>
    </row>
    <row r="66" spans="1:24" x14ac:dyDescent="0.25">
      <c r="A66" t="s">
        <v>5253</v>
      </c>
      <c r="B66" t="s">
        <v>5257</v>
      </c>
      <c r="C66" t="s">
        <v>115</v>
      </c>
      <c r="D66">
        <v>3</v>
      </c>
      <c r="H66">
        <f t="shared" si="0"/>
        <v>0</v>
      </c>
      <c r="S66" t="s">
        <v>12</v>
      </c>
      <c r="X66" t="s">
        <v>17</v>
      </c>
    </row>
    <row r="67" spans="1:24" x14ac:dyDescent="0.25">
      <c r="A67" t="s">
        <v>5253</v>
      </c>
      <c r="B67" t="s">
        <v>5257</v>
      </c>
      <c r="C67" t="s">
        <v>116</v>
      </c>
      <c r="D67">
        <v>3</v>
      </c>
      <c r="H67">
        <f t="shared" ref="H67:H130" si="1">IF(F67="",E67, F67 &amp; " - Original Helptext: " &amp;E67)</f>
        <v>0</v>
      </c>
      <c r="S67" t="s">
        <v>12</v>
      </c>
      <c r="X67" t="s">
        <v>17</v>
      </c>
    </row>
    <row r="68" spans="1:24" x14ac:dyDescent="0.25">
      <c r="A68" t="s">
        <v>5253</v>
      </c>
      <c r="B68" t="s">
        <v>5257</v>
      </c>
      <c r="C68" t="s">
        <v>117</v>
      </c>
      <c r="D68">
        <v>1</v>
      </c>
      <c r="H68">
        <f t="shared" si="1"/>
        <v>0</v>
      </c>
      <c r="S68" t="s">
        <v>12</v>
      </c>
      <c r="X68" t="s">
        <v>17</v>
      </c>
    </row>
    <row r="69" spans="1:24" x14ac:dyDescent="0.25">
      <c r="A69" t="s">
        <v>5253</v>
      </c>
      <c r="B69" t="s">
        <v>5257</v>
      </c>
      <c r="C69" t="s">
        <v>118</v>
      </c>
      <c r="D69">
        <v>1</v>
      </c>
      <c r="H69">
        <f t="shared" si="1"/>
        <v>0</v>
      </c>
      <c r="S69" t="s">
        <v>12</v>
      </c>
      <c r="X69" t="s">
        <v>17</v>
      </c>
    </row>
    <row r="70" spans="1:24" x14ac:dyDescent="0.25">
      <c r="A70" t="s">
        <v>5253</v>
      </c>
      <c r="B70" t="s">
        <v>5257</v>
      </c>
      <c r="C70" t="s">
        <v>119</v>
      </c>
      <c r="D70">
        <v>3</v>
      </c>
      <c r="H70">
        <f t="shared" si="1"/>
        <v>0</v>
      </c>
      <c r="S70" t="s">
        <v>12</v>
      </c>
      <c r="X70" t="s">
        <v>17</v>
      </c>
    </row>
    <row r="71" spans="1:24" x14ac:dyDescent="0.25">
      <c r="A71" t="s">
        <v>5253</v>
      </c>
      <c r="B71" t="s">
        <v>5257</v>
      </c>
      <c r="C71" t="s">
        <v>120</v>
      </c>
      <c r="D71">
        <v>3</v>
      </c>
      <c r="H71">
        <f t="shared" si="1"/>
        <v>0</v>
      </c>
      <c r="S71" t="s">
        <v>12</v>
      </c>
      <c r="X71" t="s">
        <v>17</v>
      </c>
    </row>
    <row r="72" spans="1:24" x14ac:dyDescent="0.25">
      <c r="A72" t="s">
        <v>5253</v>
      </c>
      <c r="B72" t="s">
        <v>5257</v>
      </c>
      <c r="C72" t="s">
        <v>121</v>
      </c>
      <c r="D72">
        <v>4</v>
      </c>
      <c r="H72">
        <f t="shared" si="1"/>
        <v>0</v>
      </c>
      <c r="S72" t="s">
        <v>12</v>
      </c>
      <c r="X72" t="s">
        <v>17</v>
      </c>
    </row>
    <row r="73" spans="1:24" x14ac:dyDescent="0.25">
      <c r="A73" t="s">
        <v>5251</v>
      </c>
      <c r="C73" t="s">
        <v>122</v>
      </c>
      <c r="D73">
        <v>0</v>
      </c>
      <c r="E73" t="s">
        <v>123</v>
      </c>
      <c r="H73" t="str">
        <f t="shared" si="1"/>
        <v>Enable procedural twist bones.</v>
      </c>
      <c r="L73" t="s">
        <v>5</v>
      </c>
      <c r="S73" t="s">
        <v>12</v>
      </c>
      <c r="X73" t="s">
        <v>17</v>
      </c>
    </row>
    <row r="74" spans="1:24" x14ac:dyDescent="0.25">
      <c r="A74" t="s">
        <v>5251</v>
      </c>
      <c r="C74" t="s">
        <v>124</v>
      </c>
      <c r="D74" t="s">
        <v>25</v>
      </c>
      <c r="E74" t="s">
        <v>125</v>
      </c>
      <c r="H74" t="str">
        <f t="shared" si="1"/>
        <v>Apply a crosshair code to the current crosshair settings.</v>
      </c>
    </row>
    <row r="75" spans="1:24" x14ac:dyDescent="0.25">
      <c r="A75" t="s">
        <v>5251</v>
      </c>
      <c r="C75" t="s">
        <v>126</v>
      </c>
      <c r="D75" t="s">
        <v>25</v>
      </c>
      <c r="E75" t="s">
        <v>127</v>
      </c>
      <c r="H75" t="str">
        <f t="shared" si="1"/>
        <v>Accept a redirect request by the server.</v>
      </c>
    </row>
    <row r="76" spans="1:24" x14ac:dyDescent="0.25">
      <c r="A76" t="s">
        <v>5251</v>
      </c>
      <c r="C76" t="s">
        <v>128</v>
      </c>
      <c r="D76" t="s">
        <v>25</v>
      </c>
      <c r="E76" t="s">
        <v>129</v>
      </c>
      <c r="H76" t="str">
        <f t="shared" si="1"/>
        <v>Notify engine that we've finished building a map</v>
      </c>
    </row>
    <row r="77" spans="1:24" x14ac:dyDescent="0.25">
      <c r="A77" t="s">
        <v>5251</v>
      </c>
      <c r="C77" t="s">
        <v>130</v>
      </c>
      <c r="D77" t="s">
        <v>25</v>
      </c>
      <c r="H77">
        <f t="shared" si="1"/>
        <v>0</v>
      </c>
    </row>
    <row r="78" spans="1:24" x14ac:dyDescent="0.25">
      <c r="A78" t="s">
        <v>5251</v>
      </c>
      <c r="C78" t="s">
        <v>131</v>
      </c>
      <c r="D78" t="s">
        <v>25</v>
      </c>
      <c r="H78">
        <f t="shared" si="1"/>
        <v>0</v>
      </c>
    </row>
    <row r="79" spans="1:24" x14ac:dyDescent="0.25">
      <c r="A79" t="s">
        <v>5251</v>
      </c>
      <c r="B79" t="s">
        <v>5258</v>
      </c>
      <c r="C79" t="s">
        <v>132</v>
      </c>
      <c r="D79" t="s">
        <v>25</v>
      </c>
      <c r="H79">
        <f t="shared" si="1"/>
        <v>0</v>
      </c>
    </row>
    <row r="80" spans="1:24" x14ac:dyDescent="0.25">
      <c r="A80" t="s">
        <v>5251</v>
      </c>
      <c r="B80" t="s">
        <v>5258</v>
      </c>
      <c r="C80" t="s">
        <v>133</v>
      </c>
      <c r="D80" t="s">
        <v>25</v>
      </c>
      <c r="H80">
        <f t="shared" si="1"/>
        <v>0</v>
      </c>
    </row>
    <row r="81" spans="1:8" x14ac:dyDescent="0.25">
      <c r="A81" t="s">
        <v>5251</v>
      </c>
      <c r="B81" t="s">
        <v>5258</v>
      </c>
      <c r="C81" t="s">
        <v>134</v>
      </c>
      <c r="D81" t="s">
        <v>25</v>
      </c>
      <c r="H81">
        <f t="shared" si="1"/>
        <v>0</v>
      </c>
    </row>
    <row r="82" spans="1:8" x14ac:dyDescent="0.25">
      <c r="A82" t="s">
        <v>5251</v>
      </c>
      <c r="B82" t="s">
        <v>5258</v>
      </c>
      <c r="C82" t="s">
        <v>135</v>
      </c>
      <c r="D82" t="s">
        <v>25</v>
      </c>
      <c r="H82">
        <f t="shared" si="1"/>
        <v>0</v>
      </c>
    </row>
    <row r="83" spans="1:8" x14ac:dyDescent="0.25">
      <c r="A83" t="s">
        <v>5251</v>
      </c>
      <c r="C83" t="s">
        <v>136</v>
      </c>
      <c r="D83" t="s">
        <v>25</v>
      </c>
      <c r="E83" t="s">
        <v>137</v>
      </c>
      <c r="H83" t="str">
        <f t="shared" si="1"/>
        <v>Audit the memory usage and files in the save-to-memory system</v>
      </c>
    </row>
    <row r="84" spans="1:8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  <c r="H84" t="str">
        <f t="shared" si="1"/>
        <v>Attempt to purchase items with the order listed in cl_autobuy</v>
      </c>
    </row>
    <row r="85" spans="1:8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  <c r="H85" t="str">
        <f t="shared" si="1"/>
        <v>Autosave</v>
      </c>
    </row>
    <row r="86" spans="1:8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  <c r="H86" t="str">
        <f t="shared" si="1"/>
        <v>AutoSaveDangerous</v>
      </c>
    </row>
    <row r="87" spans="1:8" x14ac:dyDescent="0.25">
      <c r="A87" t="s">
        <v>5251</v>
      </c>
      <c r="B87" t="s">
        <v>5258</v>
      </c>
      <c r="C87" t="s">
        <v>142</v>
      </c>
      <c r="D87" t="s">
        <v>25</v>
      </c>
      <c r="H87">
        <f t="shared" si="1"/>
        <v>0</v>
      </c>
    </row>
    <row r="88" spans="1:8" x14ac:dyDescent="0.25">
      <c r="A88" t="s">
        <v>5251</v>
      </c>
      <c r="B88" t="s">
        <v>5258</v>
      </c>
      <c r="C88" t="s">
        <v>143</v>
      </c>
      <c r="D88" t="s">
        <v>25</v>
      </c>
      <c r="H88">
        <f t="shared" si="1"/>
        <v>0</v>
      </c>
    </row>
    <row r="89" spans="1:8" x14ac:dyDescent="0.25">
      <c r="A89" t="s">
        <v>5251</v>
      </c>
      <c r="B89" t="s">
        <v>5258</v>
      </c>
      <c r="C89" t="s">
        <v>144</v>
      </c>
      <c r="D89" t="s">
        <v>25</v>
      </c>
      <c r="H89">
        <f t="shared" si="1"/>
        <v>0</v>
      </c>
    </row>
    <row r="90" spans="1:8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  <c r="H90" t="str">
        <f t="shared" si="1"/>
        <v>Add a user ID to the ban list.</v>
      </c>
    </row>
    <row r="91" spans="1:8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  <c r="H91" t="str">
        <f t="shared" si="1"/>
        <v>Add an IP address to the ban list.</v>
      </c>
    </row>
    <row r="92" spans="1:8" x14ac:dyDescent="0.25">
      <c r="A92" t="s">
        <v>5251</v>
      </c>
      <c r="C92" t="s">
        <v>148</v>
      </c>
      <c r="D92" t="s">
        <v>25</v>
      </c>
      <c r="E92" t="s">
        <v>149</v>
      </c>
      <c r="H92" t="str">
        <f t="shared" si="1"/>
        <v>Ends gathering of info.</v>
      </c>
    </row>
    <row r="93" spans="1:8" x14ac:dyDescent="0.25">
      <c r="A93" t="s">
        <v>5251</v>
      </c>
      <c r="C93" t="s">
        <v>150</v>
      </c>
      <c r="D93" t="s">
        <v>25</v>
      </c>
      <c r="E93" t="s">
        <v>151</v>
      </c>
      <c r="H93" t="str">
        <f t="shared" si="1"/>
        <v>Shows a dialog displaying the most recent benchmark results.</v>
      </c>
    </row>
    <row r="94" spans="1:8" x14ac:dyDescent="0.25">
      <c r="A94" t="s">
        <v>5251</v>
      </c>
      <c r="C94" t="s">
        <v>152</v>
      </c>
      <c r="D94" t="s">
        <v>25</v>
      </c>
      <c r="E94" t="s">
        <v>153</v>
      </c>
      <c r="H94" t="str">
        <f t="shared" si="1"/>
        <v>Starts gathering of info. Arguments: filename to write results into</v>
      </c>
    </row>
    <row r="95" spans="1:8" x14ac:dyDescent="0.25">
      <c r="A95" t="s">
        <v>5251</v>
      </c>
      <c r="C95" t="s">
        <v>154</v>
      </c>
      <c r="D95" t="s">
        <v>25</v>
      </c>
      <c r="E95" t="s">
        <v>155</v>
      </c>
      <c r="H95" t="str">
        <f t="shared" si="1"/>
        <v>Takes a snapshot of a particular frame in a time demo.</v>
      </c>
    </row>
    <row r="96" spans="1:8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  <c r="H96" t="str">
        <f t="shared" si="1"/>
        <v>Bind a key.</v>
      </c>
    </row>
    <row r="97" spans="1:24" x14ac:dyDescent="0.25">
      <c r="A97" t="s">
        <v>5251</v>
      </c>
      <c r="C97" t="s">
        <v>158</v>
      </c>
      <c r="D97" t="s">
        <v>25</v>
      </c>
      <c r="E97" t="s">
        <v>159</v>
      </c>
      <c r="H97" t="str">
        <f t="shared" si="1"/>
        <v>Bind a key for OSX only.</v>
      </c>
    </row>
    <row r="98" spans="1:24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  <c r="H98" t="str">
        <f t="shared" si="1"/>
        <v>Performs a bind &lt;key&gt; 'increment var &lt;cvar&gt; 0 1 1'</v>
      </c>
    </row>
    <row r="99" spans="1:24" x14ac:dyDescent="0.25">
      <c r="A99" t="s">
        <v>5251</v>
      </c>
      <c r="C99" t="s">
        <v>162</v>
      </c>
      <c r="D99" t="s">
        <v>25</v>
      </c>
      <c r="E99" t="s">
        <v>163</v>
      </c>
      <c r="H99" t="str">
        <f t="shared" si="1"/>
        <v>Record an entry into the blackbox</v>
      </c>
    </row>
    <row r="100" spans="1:24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  <c r="H100" t="str">
        <f t="shared" si="1"/>
        <v>bot_add &lt;t|ct&gt; &lt;type&gt; &lt;difficulty&gt; &lt;name&gt; - Adds a bot matching the given criteria.</v>
      </c>
    </row>
    <row r="101" spans="1:24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  <c r="H101" t="str">
        <f t="shared" si="1"/>
        <v>bot_add_ct &lt;type&gt; &lt;difficulty&gt; &lt;name&gt; - Adds a Counter-Terrorist bot matching the given criteria.</v>
      </c>
    </row>
    <row r="102" spans="1:24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  <c r="H102" t="str">
        <f t="shared" si="1"/>
        <v>bot_add_t &lt;type&gt; &lt;difficulty&gt; &lt;name&gt; - Adds a terrorist bot matching the given criteria.</v>
      </c>
    </row>
    <row r="103" spans="1:24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  <c r="H103" t="str">
        <f t="shared" si="1"/>
        <v>Allows the bots to use all weapons</v>
      </c>
    </row>
    <row r="104" spans="1:24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tr">
        <f t="shared" si="1"/>
        <v>If nonzero, bots may use grenades.</v>
      </c>
      <c r="K104" t="s">
        <v>4</v>
      </c>
      <c r="S104" t="s">
        <v>12</v>
      </c>
    </row>
    <row r="105" spans="1:24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tr">
        <f t="shared" si="1"/>
        <v>If nonzero, bots may use the machine gun.</v>
      </c>
      <c r="K105" t="s">
        <v>4</v>
      </c>
      <c r="S105" t="s">
        <v>12</v>
      </c>
    </row>
    <row r="106" spans="1:24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tr">
        <f t="shared" si="1"/>
        <v>If nonzero, bots may use pistols.</v>
      </c>
      <c r="K106" t="s">
        <v>4</v>
      </c>
      <c r="S106" t="s">
        <v>12</v>
      </c>
    </row>
    <row r="107" spans="1:24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tr">
        <f t="shared" si="1"/>
        <v>If nonzero, bots may use rifles.</v>
      </c>
      <c r="K107" t="s">
        <v>4</v>
      </c>
      <c r="S107" t="s">
        <v>12</v>
      </c>
    </row>
    <row r="108" spans="1:24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tr">
        <f t="shared" si="1"/>
        <v>If nonzero, bots may occasionally go 'rogue'. Rogue bots do not obey radio commands, nor pursue scenario goals.</v>
      </c>
      <c r="K108" t="s">
        <v>4</v>
      </c>
      <c r="S108" t="s">
        <v>12</v>
      </c>
    </row>
    <row r="109" spans="1:24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tr">
        <f t="shared" si="1"/>
        <v>If nonzero, bots may use shotguns.</v>
      </c>
      <c r="K109" t="s">
        <v>4</v>
      </c>
      <c r="S109" t="s">
        <v>12</v>
      </c>
    </row>
    <row r="110" spans="1:24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tr">
        <f t="shared" si="1"/>
        <v>If nonzero, bots may use sniper rifles.</v>
      </c>
      <c r="K110" t="s">
        <v>4</v>
      </c>
      <c r="S110" t="s">
        <v>12</v>
      </c>
    </row>
    <row r="111" spans="1:24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tr">
        <f t="shared" si="1"/>
        <v>If nonzero, bots may use sub-machine guns.</v>
      </c>
      <c r="K111" t="s">
        <v>4</v>
      </c>
      <c r="S111" t="s">
        <v>12</v>
      </c>
    </row>
    <row r="112" spans="1:24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H112" t="str">
        <f t="shared" si="1"/>
        <v>Upper bound above Average Human Contribution Score that a bot must be above to change its difficulty</v>
      </c>
      <c r="S112" t="s">
        <v>12</v>
      </c>
      <c r="X112" t="s">
        <v>17</v>
      </c>
    </row>
    <row r="113" spans="1:24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H113" t="str">
        <f t="shared" si="1"/>
        <v>Lower bound below Average Human Contribution Score that a bot must be below to change its difficulty</v>
      </c>
      <c r="S113" t="s">
        <v>12</v>
      </c>
      <c r="X113" t="s">
        <v>17</v>
      </c>
    </row>
    <row r="114" spans="1:24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tr">
        <f t="shared" si="1"/>
        <v>Control how bots talk. Allowed values: 'off', 'radio', 'minimal', or 'normal'.</v>
      </c>
      <c r="K114" t="s">
        <v>4</v>
      </c>
      <c r="S114" t="s">
        <v>12</v>
      </c>
    </row>
    <row r="115" spans="1:24" x14ac:dyDescent="0.25">
      <c r="A115" t="s">
        <v>5253</v>
      </c>
      <c r="B115" t="s">
        <v>5257</v>
      </c>
      <c r="C115" t="s">
        <v>194</v>
      </c>
      <c r="D115">
        <v>0</v>
      </c>
      <c r="H115">
        <f t="shared" si="1"/>
        <v>0</v>
      </c>
      <c r="K115" t="s">
        <v>4</v>
      </c>
      <c r="L115" t="s">
        <v>5</v>
      </c>
    </row>
    <row r="116" spans="1:24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tr">
        <f t="shared" si="1"/>
        <v>Max distance bots can see targets (in coop) when they are idle, dormant, hiding or asleep.</v>
      </c>
      <c r="K116" t="s">
        <v>4</v>
      </c>
      <c r="S116" t="s">
        <v>12</v>
      </c>
    </row>
    <row r="117" spans="1:24" x14ac:dyDescent="0.25">
      <c r="A117" t="s">
        <v>5253</v>
      </c>
      <c r="B117" t="s">
        <v>5257</v>
      </c>
      <c r="C117" t="s">
        <v>197</v>
      </c>
      <c r="D117">
        <v>0</v>
      </c>
      <c r="H117">
        <f t="shared" si="1"/>
        <v>0</v>
      </c>
      <c r="K117" t="s">
        <v>4</v>
      </c>
      <c r="L117" t="s">
        <v>5</v>
      </c>
    </row>
    <row r="118" spans="1:24" x14ac:dyDescent="0.25">
      <c r="A118" t="s">
        <v>5251</v>
      </c>
      <c r="C118" t="s">
        <v>198</v>
      </c>
      <c r="D118">
        <v>0</v>
      </c>
      <c r="E118" t="s">
        <v>199</v>
      </c>
      <c r="H118" t="str">
        <f t="shared" si="1"/>
        <v>For internal testing purposes.</v>
      </c>
      <c r="K118" t="s">
        <v>4</v>
      </c>
      <c r="L118" t="s">
        <v>5</v>
      </c>
      <c r="S118" t="s">
        <v>12</v>
      </c>
    </row>
    <row r="119" spans="1:24" x14ac:dyDescent="0.25">
      <c r="A119" t="s">
        <v>5251</v>
      </c>
      <c r="C119" t="s">
        <v>200</v>
      </c>
      <c r="D119">
        <v>0</v>
      </c>
      <c r="E119" t="s">
        <v>199</v>
      </c>
      <c r="H119" t="str">
        <f t="shared" si="1"/>
        <v>For internal testing purposes.</v>
      </c>
      <c r="K119" t="s">
        <v>4</v>
      </c>
      <c r="L119" t="s">
        <v>5</v>
      </c>
      <c r="S119" t="s">
        <v>12</v>
      </c>
    </row>
    <row r="120" spans="1:24" x14ac:dyDescent="0.25">
      <c r="A120" t="s">
        <v>5251</v>
      </c>
      <c r="C120" t="s">
        <v>201</v>
      </c>
      <c r="D120">
        <v>0</v>
      </c>
      <c r="E120" t="s">
        <v>202</v>
      </c>
      <c r="H120" t="str">
        <f t="shared" si="1"/>
        <v>If nonzero and there is a human on the team, the bots will not do the scenario tasks.</v>
      </c>
      <c r="K120" t="s">
        <v>4</v>
      </c>
      <c r="S120" t="s">
        <v>12</v>
      </c>
    </row>
    <row r="121" spans="1:24" x14ac:dyDescent="0.25">
      <c r="A121" t="s">
        <v>5251</v>
      </c>
      <c r="C121" t="s">
        <v>203</v>
      </c>
      <c r="D121">
        <v>1</v>
      </c>
      <c r="E121" t="s">
        <v>204</v>
      </c>
      <c r="H121" t="str">
        <f t="shared" si="1"/>
        <v>If nonzero and there is a human on the team, the bots will not get scenario items.</v>
      </c>
      <c r="K121" t="s">
        <v>4</v>
      </c>
      <c r="S121" t="s">
        <v>12</v>
      </c>
    </row>
    <row r="122" spans="1:24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tr">
        <f t="shared" si="1"/>
        <v>Defines the skill of bots joining the game.  Values are: 0=easy, 1=normal, 2=hard, 3=expert.</v>
      </c>
      <c r="K122" t="s">
        <v>4</v>
      </c>
      <c r="S122" t="s">
        <v>12</v>
      </c>
    </row>
    <row r="123" spans="1:24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tr">
        <f t="shared" si="1"/>
        <v>If nonzero, bots will not fire weapons (for debugging).</v>
      </c>
      <c r="K123" t="s">
        <v>4</v>
      </c>
      <c r="L123" t="s">
        <v>5</v>
      </c>
      <c r="S123" t="s">
        <v>12</v>
      </c>
    </row>
    <row r="124" spans="1:24" x14ac:dyDescent="0.25">
      <c r="A124" t="s">
        <v>5253</v>
      </c>
      <c r="B124" t="s">
        <v>5257</v>
      </c>
      <c r="C124" t="s">
        <v>209</v>
      </c>
      <c r="D124">
        <v>0</v>
      </c>
      <c r="H124">
        <f t="shared" si="1"/>
        <v>0</v>
      </c>
      <c r="K124" t="s">
        <v>4</v>
      </c>
      <c r="L124" t="s">
        <v>5</v>
      </c>
    </row>
    <row r="125" spans="1:24" x14ac:dyDescent="0.25">
      <c r="A125" t="s">
        <v>5251</v>
      </c>
      <c r="C125" t="s">
        <v>210</v>
      </c>
      <c r="D125" t="s">
        <v>25</v>
      </c>
      <c r="E125" t="s">
        <v>211</v>
      </c>
      <c r="H125" t="str">
        <f t="shared" si="1"/>
        <v>Sends a bot to the marked nav area (useful for testing navigation meshes)</v>
      </c>
    </row>
    <row r="126" spans="1:24" x14ac:dyDescent="0.25">
      <c r="A126" t="s">
        <v>5251</v>
      </c>
      <c r="C126" t="s">
        <v>212</v>
      </c>
      <c r="D126" t="s">
        <v>25</v>
      </c>
      <c r="E126" t="s">
        <v>213</v>
      </c>
      <c r="H126" t="str">
        <f t="shared" si="1"/>
        <v>Sends a bot to the selected nav area (useful for testing navigation meshes)</v>
      </c>
    </row>
    <row r="127" spans="1:24" x14ac:dyDescent="0.25">
      <c r="A127" t="s">
        <v>5251</v>
      </c>
      <c r="C127" t="s">
        <v>214</v>
      </c>
      <c r="D127">
        <v>0</v>
      </c>
      <c r="E127" t="s">
        <v>215</v>
      </c>
      <c r="H127" t="str">
        <f t="shared" si="1"/>
        <v>If nonzero, bots will ignore enemies (for debugging).</v>
      </c>
      <c r="K127" t="s">
        <v>4</v>
      </c>
      <c r="L127" t="s">
        <v>5</v>
      </c>
      <c r="S127" t="s">
        <v>12</v>
      </c>
    </row>
    <row r="128" spans="1:24" x14ac:dyDescent="0.25">
      <c r="A128" t="s">
        <v>5251</v>
      </c>
      <c r="C128" t="s">
        <v>216</v>
      </c>
      <c r="D128">
        <v>0</v>
      </c>
      <c r="E128" t="s">
        <v>217</v>
      </c>
      <c r="H128" t="str">
        <f t="shared" si="1"/>
        <v>Bots will not see non-bot players.</v>
      </c>
      <c r="K128" t="s">
        <v>4</v>
      </c>
      <c r="L128" t="s">
        <v>5</v>
      </c>
    </row>
    <row r="129" spans="1:19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tr">
        <f t="shared" si="1"/>
        <v>If nonzero, bots wait until a player joins before entering the game.</v>
      </c>
      <c r="K129" t="s">
        <v>4</v>
      </c>
      <c r="S129" t="s">
        <v>12</v>
      </c>
    </row>
    <row r="130" spans="1:19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tr">
        <f t="shared" si="1"/>
        <v>Determines the team bots will join into. Allowed values: 'any', 'T', or 'CT'.</v>
      </c>
      <c r="K130" t="s">
        <v>4</v>
      </c>
      <c r="S130" t="s">
        <v>12</v>
      </c>
    </row>
    <row r="131" spans="1:19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  <c r="H131" t="str">
        <f t="shared" ref="H131:H194" si="2">IF(F131="",E131, F131 &amp; " - Original Helptext: " &amp;E131)</f>
        <v>bot_kick &lt;all&gt; &lt;t|ct&gt; &lt;type&gt; &lt;difficulty&gt; &lt;name&gt; - Kicks a specific bot, or all bots, matching the given criteria.</v>
      </c>
    </row>
    <row r="132" spans="1:19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  <c r="H132" t="str">
        <f t="shared" si="2"/>
        <v>bot_kill &lt;all&gt; &lt;t|ct&gt; &lt;type&gt; &lt;difficulty&gt; &lt;name&gt; - Kills a specific bot, or all bots, matching the given criteria.</v>
      </c>
    </row>
    <row r="133" spans="1:19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  <c r="H133" t="str">
        <f t="shared" si="2"/>
        <v>Restricts the bots to only using knives</v>
      </c>
    </row>
    <row r="134" spans="1:19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tr">
        <f t="shared" si="2"/>
        <v>bots are given these items at round start</v>
      </c>
      <c r="K134" t="s">
        <v>4</v>
      </c>
      <c r="L134" t="s">
        <v>5</v>
      </c>
    </row>
    <row r="135" spans="1:19" x14ac:dyDescent="0.25">
      <c r="A135" t="s">
        <v>5251</v>
      </c>
      <c r="C135" t="s">
        <v>230</v>
      </c>
      <c r="D135">
        <v>-1</v>
      </c>
      <c r="E135" t="s">
        <v>231</v>
      </c>
      <c r="H135" t="str">
        <f t="shared" si="2"/>
        <v>Max distance bots can hear targets.</v>
      </c>
      <c r="K135" t="s">
        <v>4</v>
      </c>
      <c r="S135" t="s">
        <v>12</v>
      </c>
    </row>
    <row r="136" spans="1:19" x14ac:dyDescent="0.25">
      <c r="A136" t="s">
        <v>5251</v>
      </c>
      <c r="C136" t="s">
        <v>232</v>
      </c>
      <c r="D136">
        <v>200</v>
      </c>
      <c r="E136" t="s">
        <v>233</v>
      </c>
      <c r="H136" t="str">
        <f t="shared" si="2"/>
        <v>Bots will see players through smoke clouds up to this length.</v>
      </c>
      <c r="K136" t="s">
        <v>4</v>
      </c>
      <c r="S136" t="s">
        <v>12</v>
      </c>
    </row>
    <row r="137" spans="1:19" x14ac:dyDescent="0.25">
      <c r="A137" t="s">
        <v>5251</v>
      </c>
      <c r="C137" t="s">
        <v>234</v>
      </c>
      <c r="D137">
        <v>-1</v>
      </c>
      <c r="E137" t="s">
        <v>235</v>
      </c>
      <c r="H137" t="str">
        <f t="shared" si="2"/>
        <v>Max distance bots can see targets.</v>
      </c>
      <c r="K137" t="s">
        <v>4</v>
      </c>
      <c r="S137" t="s">
        <v>12</v>
      </c>
    </row>
    <row r="138" spans="1:19" x14ac:dyDescent="0.25">
      <c r="A138" t="s">
        <v>5251</v>
      </c>
      <c r="C138" t="s">
        <v>236</v>
      </c>
      <c r="D138">
        <v>0</v>
      </c>
      <c r="H138">
        <f t="shared" si="2"/>
        <v>0</v>
      </c>
      <c r="K138" t="s">
        <v>4</v>
      </c>
      <c r="L138" t="s">
        <v>5</v>
      </c>
    </row>
    <row r="139" spans="1:19" x14ac:dyDescent="0.25">
      <c r="A139" t="s">
        <v>5251</v>
      </c>
      <c r="C139" t="s">
        <v>237</v>
      </c>
      <c r="D139">
        <v>180</v>
      </c>
      <c r="H139">
        <f t="shared" si="2"/>
        <v>0</v>
      </c>
      <c r="K139" t="s">
        <v>4</v>
      </c>
      <c r="L139" t="s">
        <v>5</v>
      </c>
    </row>
    <row r="140" spans="1:19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  <c r="H140" t="str">
        <f t="shared" si="2"/>
        <v>Restricts the bots to only using pistols</v>
      </c>
    </row>
    <row r="141" spans="1:19" x14ac:dyDescent="0.25">
      <c r="A141" t="s">
        <v>5251</v>
      </c>
      <c r="C141" t="s">
        <v>240</v>
      </c>
      <c r="D141" t="s">
        <v>25</v>
      </c>
      <c r="E141" t="s">
        <v>241</v>
      </c>
      <c r="H141" t="str">
        <f t="shared" si="2"/>
        <v>bot_place - Places a bot from the map at where the local player is pointing.</v>
      </c>
    </row>
    <row r="142" spans="1:19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tr">
        <f t="shared" si="2"/>
        <v>Determines the total number of bots in the game.</v>
      </c>
      <c r="K142" t="s">
        <v>4</v>
      </c>
      <c r="S142" t="s">
        <v>12</v>
      </c>
    </row>
    <row r="143" spans="1:19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F143" t="s">
        <v>5249</v>
      </c>
      <c r="G143" t="s">
        <v>5251</v>
      </c>
      <c r="H143" t="str">
        <f>IF(F143="",E143,F143&amp;IF(G143="",""," - Original Helptext: "&amp;E143))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K143" t="s">
        <v>4</v>
      </c>
      <c r="S143" t="s">
        <v>12</v>
      </c>
    </row>
    <row r="144" spans="1:19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tr">
        <f t="shared" si="2"/>
        <v>should bots ignore their prefered weapons and just buy weapons at random?</v>
      </c>
      <c r="K144" t="s">
        <v>4</v>
      </c>
      <c r="L144" t="s">
        <v>5</v>
      </c>
    </row>
    <row r="145" spans="1:19" x14ac:dyDescent="0.25">
      <c r="A145" t="s">
        <v>5251</v>
      </c>
      <c r="C145" t="s">
        <v>247</v>
      </c>
      <c r="D145">
        <v>0</v>
      </c>
      <c r="E145" t="s">
        <v>248</v>
      </c>
      <c r="H145" t="str">
        <f t="shared" si="2"/>
        <v>Show areas where rushing players will initially meet.</v>
      </c>
      <c r="K145" t="s">
        <v>4</v>
      </c>
      <c r="L145" t="s">
        <v>5</v>
      </c>
    </row>
    <row r="146" spans="1:19" x14ac:dyDescent="0.25">
      <c r="A146" t="s">
        <v>5251</v>
      </c>
      <c r="C146" t="s">
        <v>249</v>
      </c>
      <c r="D146">
        <v>0</v>
      </c>
      <c r="E146" t="s">
        <v>199</v>
      </c>
      <c r="H146" t="str">
        <f t="shared" si="2"/>
        <v>For internal testing purposes.</v>
      </c>
      <c r="K146" t="s">
        <v>4</v>
      </c>
      <c r="L146" t="s">
        <v>5</v>
      </c>
      <c r="S146" t="s">
        <v>12</v>
      </c>
    </row>
    <row r="147" spans="1:19" x14ac:dyDescent="0.25">
      <c r="A147" t="s">
        <v>5251</v>
      </c>
      <c r="C147" t="s">
        <v>250</v>
      </c>
      <c r="D147">
        <v>0</v>
      </c>
      <c r="E147" t="s">
        <v>251</v>
      </c>
      <c r="H147" t="str">
        <f t="shared" si="2"/>
        <v>Show when each nav area can first be reached by each team.</v>
      </c>
      <c r="K147" t="s">
        <v>4</v>
      </c>
      <c r="L147" t="s">
        <v>5</v>
      </c>
    </row>
    <row r="148" spans="1:19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  <c r="H148" t="str">
        <f t="shared" si="2"/>
        <v>Restricts the bots to only using sniper rifles</v>
      </c>
    </row>
    <row r="149" spans="1:19" x14ac:dyDescent="0.25">
      <c r="A149" t="s">
        <v>5251</v>
      </c>
      <c r="C149" t="s">
        <v>254</v>
      </c>
      <c r="D149">
        <v>0</v>
      </c>
      <c r="E149" t="s">
        <v>255</v>
      </c>
      <c r="H149" t="str">
        <f t="shared" si="2"/>
        <v>bot_stop &lt;1|all&gt; | &lt;not_bomber&gt; | &lt;t&gt; | &lt;ct&gt;</v>
      </c>
      <c r="K149" t="s">
        <v>4</v>
      </c>
      <c r="L149" t="s">
        <v>5</v>
      </c>
      <c r="S149" t="s">
        <v>12</v>
      </c>
    </row>
    <row r="150" spans="1:19" x14ac:dyDescent="0.25">
      <c r="A150" t="s">
        <v>5251</v>
      </c>
      <c r="C150" t="s">
        <v>256</v>
      </c>
      <c r="D150">
        <v>0</v>
      </c>
      <c r="E150" t="s">
        <v>199</v>
      </c>
      <c r="H150" t="str">
        <f t="shared" si="2"/>
        <v>For internal testing purposes.</v>
      </c>
      <c r="K150" t="s">
        <v>4</v>
      </c>
      <c r="L150" t="s">
        <v>5</v>
      </c>
      <c r="S150" t="s">
        <v>12</v>
      </c>
    </row>
    <row r="151" spans="1:19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tr">
        <f t="shared" si="2"/>
        <v>If nonzero, bots will stay in idle mode and not attack.</v>
      </c>
      <c r="K151" t="s">
        <v>4</v>
      </c>
      <c r="L151" t="s">
        <v>5</v>
      </c>
      <c r="S151" t="s">
        <v>12</v>
      </c>
    </row>
    <row r="152" spans="1:19" x14ac:dyDescent="0.25">
      <c r="A152" t="s">
        <v>5251</v>
      </c>
      <c r="C152" t="s">
        <v>259</v>
      </c>
      <c r="D152" t="s">
        <v>25</v>
      </c>
      <c r="E152" t="s">
        <v>260</v>
      </c>
      <c r="H152" t="str">
        <f t="shared" si="2"/>
        <v>Draw a debug box.</v>
      </c>
    </row>
    <row r="153" spans="1:19" x14ac:dyDescent="0.25">
      <c r="A153" t="s">
        <v>5251</v>
      </c>
      <c r="B153" t="s">
        <v>25</v>
      </c>
      <c r="C153" t="s">
        <v>261</v>
      </c>
      <c r="D153" t="s">
        <v>25</v>
      </c>
      <c r="H153">
        <f t="shared" si="2"/>
        <v>0</v>
      </c>
    </row>
    <row r="154" spans="1:19" x14ac:dyDescent="0.25">
      <c r="A154" t="s">
        <v>5251</v>
      </c>
      <c r="B154" t="s">
        <v>25</v>
      </c>
      <c r="C154" t="s">
        <v>262</v>
      </c>
      <c r="D154" t="s">
        <v>25</v>
      </c>
      <c r="H154">
        <f t="shared" si="2"/>
        <v>0</v>
      </c>
    </row>
    <row r="155" spans="1:19" x14ac:dyDescent="0.25">
      <c r="A155" t="s">
        <v>5251</v>
      </c>
      <c r="C155" t="s">
        <v>263</v>
      </c>
      <c r="D155" t="s">
        <v>25</v>
      </c>
      <c r="E155" t="s">
        <v>264</v>
      </c>
      <c r="H155" t="str">
        <f t="shared" si="2"/>
        <v>Toggle.  Player takes damage but won't die. (Shows red cross when health is zero)</v>
      </c>
    </row>
    <row r="156" spans="1:19" x14ac:dyDescent="0.25">
      <c r="A156" t="s">
        <v>5251</v>
      </c>
      <c r="C156" t="s">
        <v>265</v>
      </c>
      <c r="D156">
        <v>30</v>
      </c>
      <c r="E156" t="s">
        <v>266</v>
      </c>
      <c r="H156" t="str">
        <f t="shared" si="2"/>
        <v>number of frames to look at when figuring out average frametimes</v>
      </c>
      <c r="I156" t="s">
        <v>2</v>
      </c>
    </row>
    <row r="157" spans="1:19" x14ac:dyDescent="0.25">
      <c r="A157" t="s">
        <v>5251</v>
      </c>
      <c r="C157" t="s">
        <v>267</v>
      </c>
      <c r="D157">
        <v>128</v>
      </c>
      <c r="E157" t="s">
        <v>268</v>
      </c>
      <c r="H157" t="str">
        <f t="shared" si="2"/>
        <v>how translucent the budget panel is</v>
      </c>
      <c r="I157" t="s">
        <v>2</v>
      </c>
    </row>
    <row r="158" spans="1:19" x14ac:dyDescent="0.25">
      <c r="A158" t="s">
        <v>5251</v>
      </c>
      <c r="C158" t="s">
        <v>269</v>
      </c>
      <c r="D158">
        <v>128</v>
      </c>
      <c r="E158" t="s">
        <v>268</v>
      </c>
      <c r="H158" t="str">
        <f t="shared" si="2"/>
        <v>how translucent the budget panel is</v>
      </c>
      <c r="I158" t="s">
        <v>2</v>
      </c>
    </row>
    <row r="159" spans="1:19" x14ac:dyDescent="0.25">
      <c r="A159" t="s">
        <v>5251</v>
      </c>
      <c r="C159" t="s">
        <v>270</v>
      </c>
      <c r="D159">
        <v>16</v>
      </c>
      <c r="E159" t="s">
        <v>271</v>
      </c>
      <c r="H159" t="str">
        <f t="shared" si="2"/>
        <v>budget bargraph range in milliseconds</v>
      </c>
      <c r="I159" t="s">
        <v>2</v>
      </c>
    </row>
    <row r="160" spans="1:19" x14ac:dyDescent="0.25">
      <c r="A160" t="s">
        <v>5251</v>
      </c>
      <c r="C160" t="s">
        <v>272</v>
      </c>
      <c r="D160">
        <v>100</v>
      </c>
      <c r="E160" t="s">
        <v>273</v>
      </c>
      <c r="H160" t="str">
        <f t="shared" si="2"/>
        <v>number of samples to draw in the budget history window.  The lower the better as far as rendering overhead of the budget panel</v>
      </c>
      <c r="I160" t="s">
        <v>2</v>
      </c>
    </row>
    <row r="161" spans="1:24" x14ac:dyDescent="0.25">
      <c r="A161" t="s">
        <v>5251</v>
      </c>
      <c r="C161" t="s">
        <v>274</v>
      </c>
      <c r="D161">
        <v>66</v>
      </c>
      <c r="E161" t="s">
        <v>275</v>
      </c>
      <c r="H161" t="str">
        <f t="shared" si="2"/>
        <v>budget history range in milliseconds</v>
      </c>
      <c r="I161" t="s">
        <v>2</v>
      </c>
    </row>
    <row r="162" spans="1:24" x14ac:dyDescent="0.25">
      <c r="A162" t="s">
        <v>5251</v>
      </c>
      <c r="C162" t="s">
        <v>276</v>
      </c>
      <c r="D162">
        <v>0</v>
      </c>
      <c r="E162" t="s">
        <v>277</v>
      </c>
      <c r="H162" t="str">
        <f t="shared" si="2"/>
        <v>number between 0 and 1</v>
      </c>
      <c r="I162" t="s">
        <v>2</v>
      </c>
    </row>
    <row r="163" spans="1:24" x14ac:dyDescent="0.25">
      <c r="A163" t="s">
        <v>5251</v>
      </c>
      <c r="C163" t="s">
        <v>278</v>
      </c>
      <c r="D163">
        <v>384</v>
      </c>
      <c r="E163" t="s">
        <v>279</v>
      </c>
      <c r="H163" t="str">
        <f t="shared" si="2"/>
        <v>height in pixels of the budget panel</v>
      </c>
      <c r="I163" t="s">
        <v>2</v>
      </c>
    </row>
    <row r="164" spans="1:24" x14ac:dyDescent="0.25">
      <c r="A164" t="s">
        <v>5251</v>
      </c>
      <c r="C164" t="s">
        <v>280</v>
      </c>
      <c r="D164">
        <v>512</v>
      </c>
      <c r="E164" t="s">
        <v>281</v>
      </c>
      <c r="H164" t="str">
        <f t="shared" si="2"/>
        <v>width in pixels of the budget panel</v>
      </c>
      <c r="I164" t="s">
        <v>2</v>
      </c>
    </row>
    <row r="165" spans="1:24" x14ac:dyDescent="0.25">
      <c r="A165" t="s">
        <v>5251</v>
      </c>
      <c r="C165" t="s">
        <v>282</v>
      </c>
      <c r="D165">
        <v>0</v>
      </c>
      <c r="E165" t="s">
        <v>283</v>
      </c>
      <c r="H165" t="str">
        <f t="shared" si="2"/>
        <v>number of pixels from the left side of the game screen to draw the budget panel</v>
      </c>
      <c r="I165" t="s">
        <v>2</v>
      </c>
    </row>
    <row r="166" spans="1:24" x14ac:dyDescent="0.25">
      <c r="A166" t="s">
        <v>5251</v>
      </c>
      <c r="C166" t="s">
        <v>284</v>
      </c>
      <c r="D166">
        <v>50</v>
      </c>
      <c r="E166" t="s">
        <v>285</v>
      </c>
      <c r="H166" t="str">
        <f t="shared" si="2"/>
        <v>number of pixels from the top side of the game screen to draw the budget panel</v>
      </c>
      <c r="I166" t="s">
        <v>2</v>
      </c>
    </row>
    <row r="167" spans="1:24" x14ac:dyDescent="0.25">
      <c r="A167" t="s">
        <v>5251</v>
      </c>
      <c r="C167" t="s">
        <v>286</v>
      </c>
      <c r="D167">
        <v>30</v>
      </c>
      <c r="E167" t="s">
        <v>287</v>
      </c>
      <c r="H167" t="str">
        <f t="shared" si="2"/>
        <v>number of frames to look at when figuring out peak frametimes</v>
      </c>
      <c r="I167" t="s">
        <v>2</v>
      </c>
    </row>
    <row r="168" spans="1:24" x14ac:dyDescent="0.25">
      <c r="A168" t="s">
        <v>5251</v>
      </c>
      <c r="C168" t="s">
        <v>288</v>
      </c>
      <c r="D168">
        <v>0</v>
      </c>
      <c r="E168" t="s">
        <v>289</v>
      </c>
      <c r="H168" t="str">
        <f t="shared" si="2"/>
        <v>enable/disable averages in the budget panel</v>
      </c>
      <c r="I168" t="s">
        <v>2</v>
      </c>
    </row>
    <row r="169" spans="1:24" x14ac:dyDescent="0.25">
      <c r="A169" t="s">
        <v>5251</v>
      </c>
      <c r="C169" t="s">
        <v>290</v>
      </c>
      <c r="D169">
        <v>1</v>
      </c>
      <c r="E169" t="s">
        <v>291</v>
      </c>
      <c r="H169" t="str">
        <f t="shared" si="2"/>
        <v>turn history graph off and on. . good to turn off on low end</v>
      </c>
      <c r="I169" t="s">
        <v>2</v>
      </c>
    </row>
    <row r="170" spans="1:24" x14ac:dyDescent="0.25">
      <c r="A170" t="s">
        <v>5251</v>
      </c>
      <c r="C170" t="s">
        <v>292</v>
      </c>
      <c r="D170">
        <v>1</v>
      </c>
      <c r="E170" t="s">
        <v>293</v>
      </c>
      <c r="H170" t="str">
        <f t="shared" si="2"/>
        <v>enable/disable peaks in the budget panel</v>
      </c>
      <c r="I170" t="s">
        <v>2</v>
      </c>
    </row>
    <row r="171" spans="1:24" x14ac:dyDescent="0.25">
      <c r="A171" t="s">
        <v>5251</v>
      </c>
      <c r="C171" t="s">
        <v>294</v>
      </c>
      <c r="D171" t="s">
        <v>25</v>
      </c>
      <c r="E171" t="s">
        <v>295</v>
      </c>
      <c r="H171" t="str">
        <f t="shared" si="2"/>
        <v>Turn a budget group on/off</v>
      </c>
    </row>
    <row r="172" spans="1:24" x14ac:dyDescent="0.25">
      <c r="A172" t="s">
        <v>5251</v>
      </c>
      <c r="C172" t="s">
        <v>296</v>
      </c>
      <c r="D172" t="s">
        <v>25</v>
      </c>
      <c r="E172" t="s">
        <v>297</v>
      </c>
      <c r="H172" t="str">
        <f t="shared" si="2"/>
        <v>Show the bug reporting UI.</v>
      </c>
    </row>
    <row r="173" spans="1:24" x14ac:dyDescent="0.25">
      <c r="A173" t="s">
        <v>5251</v>
      </c>
      <c r="C173" t="s">
        <v>298</v>
      </c>
      <c r="D173">
        <v>0</v>
      </c>
      <c r="E173" t="s">
        <v>299</v>
      </c>
      <c r="H173" t="str">
        <f t="shared" si="2"/>
        <v>Upload attachments asynchronously</v>
      </c>
      <c r="I173" t="s">
        <v>2</v>
      </c>
    </row>
    <row r="174" spans="1:24" x14ac:dyDescent="0.25">
      <c r="A174" t="s">
        <v>5251</v>
      </c>
      <c r="C174" t="s">
        <v>300</v>
      </c>
      <c r="D174">
        <v>0</v>
      </c>
      <c r="E174" t="s">
        <v>301</v>
      </c>
      <c r="H174" t="str">
        <f t="shared" si="2"/>
        <v>Username to use for bugreporter</v>
      </c>
      <c r="I174" t="s">
        <v>2</v>
      </c>
    </row>
    <row r="175" spans="1:24" x14ac:dyDescent="0.25">
      <c r="A175" t="s">
        <v>5251</v>
      </c>
      <c r="C175" t="s">
        <v>302</v>
      </c>
      <c r="D175" t="s">
        <v>25</v>
      </c>
      <c r="E175" t="s">
        <v>303</v>
      </c>
      <c r="H175" t="str">
        <f t="shared" si="2"/>
        <v>Rebuild cubemaps.</v>
      </c>
    </row>
    <row r="176" spans="1:24" x14ac:dyDescent="0.25">
      <c r="A176" t="s">
        <v>5251</v>
      </c>
      <c r="C176" t="s">
        <v>304</v>
      </c>
      <c r="D176">
        <v>0</v>
      </c>
      <c r="E176" t="s">
        <v>305</v>
      </c>
      <c r="H176" t="str">
        <f t="shared" si="2"/>
        <v>Indicates we're building cubemaps</v>
      </c>
      <c r="L176" t="s">
        <v>5</v>
      </c>
      <c r="X176" t="s">
        <v>17</v>
      </c>
    </row>
    <row r="177" spans="1:24" x14ac:dyDescent="0.25">
      <c r="A177" t="s">
        <v>5251</v>
      </c>
      <c r="C177" t="s">
        <v>306</v>
      </c>
      <c r="D177" t="s">
        <v>25</v>
      </c>
      <c r="E177" t="s">
        <v>306</v>
      </c>
      <c r="H177" t="str">
        <f t="shared" si="2"/>
        <v>buildmodelforworld</v>
      </c>
    </row>
    <row r="178" spans="1:24" x14ac:dyDescent="0.25">
      <c r="A178" t="s">
        <v>5251</v>
      </c>
      <c r="C178" t="s">
        <v>307</v>
      </c>
      <c r="D178" t="s">
        <v>25</v>
      </c>
      <c r="E178" t="s">
        <v>308</v>
      </c>
      <c r="H178" t="str">
        <f t="shared" si="2"/>
        <v>Temporary solution for Pinion to kick back to community map makers.</v>
      </c>
    </row>
    <row r="179" spans="1:24" x14ac:dyDescent="0.25">
      <c r="A179" t="s">
        <v>5253</v>
      </c>
      <c r="C179" t="s">
        <v>309</v>
      </c>
      <c r="D179" t="s">
        <v>25</v>
      </c>
      <c r="E179" t="s">
        <v>310</v>
      </c>
      <c r="H179" t="str">
        <f t="shared" si="2"/>
        <v>Show or hide main buy menu</v>
      </c>
    </row>
    <row r="180" spans="1:24" x14ac:dyDescent="0.25">
      <c r="A180" t="s">
        <v>5253</v>
      </c>
      <c r="C180" t="s">
        <v>311</v>
      </c>
      <c r="D180" t="s">
        <v>25</v>
      </c>
      <c r="E180" t="s">
        <v>312</v>
      </c>
      <c r="H180" t="str">
        <f t="shared" si="2"/>
        <v>Buy random primary and secondary. Primarily for deathmatch where cost is not an issue.</v>
      </c>
    </row>
    <row r="181" spans="1:24" x14ac:dyDescent="0.25">
      <c r="A181" t="s">
        <v>5251</v>
      </c>
      <c r="C181" t="s">
        <v>313</v>
      </c>
      <c r="D181">
        <v>200</v>
      </c>
      <c r="H181">
        <f t="shared" si="2"/>
        <v>0</v>
      </c>
      <c r="I181" t="s">
        <v>2</v>
      </c>
      <c r="X181" t="s">
        <v>17</v>
      </c>
    </row>
    <row r="182" spans="1:24" x14ac:dyDescent="0.25">
      <c r="A182" t="s">
        <v>5251</v>
      </c>
      <c r="C182" t="s">
        <v>314</v>
      </c>
      <c r="D182">
        <v>90</v>
      </c>
      <c r="H182">
        <f t="shared" si="2"/>
        <v>0</v>
      </c>
      <c r="I182" t="s">
        <v>2</v>
      </c>
      <c r="X182" t="s">
        <v>17</v>
      </c>
    </row>
    <row r="183" spans="1:24" x14ac:dyDescent="0.25">
      <c r="A183" t="s">
        <v>5251</v>
      </c>
      <c r="C183" t="s">
        <v>315</v>
      </c>
      <c r="D183">
        <v>135</v>
      </c>
      <c r="H183">
        <f t="shared" si="2"/>
        <v>0</v>
      </c>
      <c r="I183" t="s">
        <v>2</v>
      </c>
      <c r="X183" t="s">
        <v>17</v>
      </c>
    </row>
    <row r="184" spans="1:24" x14ac:dyDescent="0.25">
      <c r="A184" t="s">
        <v>5251</v>
      </c>
      <c r="C184" t="s">
        <v>316</v>
      </c>
      <c r="D184">
        <v>30</v>
      </c>
      <c r="H184">
        <f t="shared" si="2"/>
        <v>0</v>
      </c>
      <c r="I184" t="s">
        <v>2</v>
      </c>
      <c r="X184" t="s">
        <v>17</v>
      </c>
    </row>
    <row r="185" spans="1:24" x14ac:dyDescent="0.25">
      <c r="A185" t="s">
        <v>5251</v>
      </c>
      <c r="C185" t="s">
        <v>317</v>
      </c>
      <c r="D185">
        <v>0</v>
      </c>
      <c r="H185">
        <f t="shared" si="2"/>
        <v>0</v>
      </c>
      <c r="I185" t="s">
        <v>2</v>
      </c>
      <c r="X185" t="s">
        <v>17</v>
      </c>
    </row>
    <row r="186" spans="1:24" x14ac:dyDescent="0.25">
      <c r="A186" t="s">
        <v>5251</v>
      </c>
      <c r="C186" t="s">
        <v>318</v>
      </c>
      <c r="D186">
        <v>-135</v>
      </c>
      <c r="H186">
        <f t="shared" si="2"/>
        <v>0</v>
      </c>
      <c r="I186" t="s">
        <v>2</v>
      </c>
      <c r="X186" t="s">
        <v>17</v>
      </c>
    </row>
    <row r="187" spans="1:24" x14ac:dyDescent="0.25">
      <c r="A187" t="s">
        <v>5251</v>
      </c>
      <c r="C187" t="s">
        <v>319</v>
      </c>
      <c r="D187">
        <v>100</v>
      </c>
      <c r="H187">
        <f t="shared" si="2"/>
        <v>0</v>
      </c>
      <c r="I187" t="s">
        <v>2</v>
      </c>
      <c r="X187" t="s">
        <v>17</v>
      </c>
    </row>
    <row r="188" spans="1:24" x14ac:dyDescent="0.25">
      <c r="A188" t="s">
        <v>5251</v>
      </c>
      <c r="C188" t="s">
        <v>320</v>
      </c>
      <c r="D188">
        <v>100</v>
      </c>
      <c r="H188">
        <f t="shared" si="2"/>
        <v>0</v>
      </c>
      <c r="I188" t="s">
        <v>2</v>
      </c>
      <c r="X188" t="s">
        <v>17</v>
      </c>
    </row>
    <row r="189" spans="1:24" x14ac:dyDescent="0.25">
      <c r="A189" t="s">
        <v>5251</v>
      </c>
      <c r="C189" t="s">
        <v>321</v>
      </c>
      <c r="D189">
        <v>0</v>
      </c>
      <c r="H189">
        <f t="shared" si="2"/>
        <v>0</v>
      </c>
      <c r="I189" t="s">
        <v>2</v>
      </c>
      <c r="X189" t="s">
        <v>17</v>
      </c>
    </row>
    <row r="190" spans="1:24" x14ac:dyDescent="0.25">
      <c r="A190" t="s">
        <v>5251</v>
      </c>
      <c r="C190" t="s">
        <v>322</v>
      </c>
      <c r="D190">
        <v>120</v>
      </c>
      <c r="H190">
        <f t="shared" si="2"/>
        <v>0</v>
      </c>
      <c r="I190" t="s">
        <v>2</v>
      </c>
      <c r="X190" t="s">
        <v>17</v>
      </c>
    </row>
    <row r="191" spans="1:24" x14ac:dyDescent="0.25">
      <c r="A191" t="s">
        <v>5251</v>
      </c>
      <c r="C191" t="s">
        <v>323</v>
      </c>
      <c r="D191">
        <v>40</v>
      </c>
      <c r="H191">
        <f t="shared" si="2"/>
        <v>0</v>
      </c>
      <c r="I191" t="s">
        <v>2</v>
      </c>
      <c r="X191" t="s">
        <v>17</v>
      </c>
    </row>
    <row r="192" spans="1:24" x14ac:dyDescent="0.25">
      <c r="A192" t="s">
        <v>5251</v>
      </c>
      <c r="C192" t="s">
        <v>324</v>
      </c>
      <c r="D192">
        <v>5</v>
      </c>
      <c r="H192">
        <f t="shared" si="2"/>
        <v>0</v>
      </c>
      <c r="I192" t="s">
        <v>2</v>
      </c>
      <c r="X192" t="s">
        <v>17</v>
      </c>
    </row>
    <row r="193" spans="1:24" x14ac:dyDescent="0.25">
      <c r="A193" t="s">
        <v>5251</v>
      </c>
      <c r="C193" t="s">
        <v>325</v>
      </c>
      <c r="D193">
        <v>20</v>
      </c>
      <c r="H193">
        <f t="shared" si="2"/>
        <v>0</v>
      </c>
      <c r="I193" t="s">
        <v>2</v>
      </c>
      <c r="X193" t="s">
        <v>17</v>
      </c>
    </row>
    <row r="194" spans="1:24" x14ac:dyDescent="0.25">
      <c r="A194" t="s">
        <v>5251</v>
      </c>
      <c r="C194" t="s">
        <v>326</v>
      </c>
      <c r="D194" t="s">
        <v>25</v>
      </c>
      <c r="E194" t="s">
        <v>5167</v>
      </c>
      <c r="H194" t="str">
        <f t="shared" si="2"/>
        <v>cache_print [section] Print out contents of cache memory.</v>
      </c>
    </row>
    <row r="195" spans="1:24" x14ac:dyDescent="0.25">
      <c r="A195" t="s">
        <v>5251</v>
      </c>
      <c r="C195" t="s">
        <v>327</v>
      </c>
      <c r="D195" t="s">
        <v>25</v>
      </c>
      <c r="E195" t="s">
        <v>5168</v>
      </c>
      <c r="H195" t="str">
        <f t="shared" ref="H195:H258" si="3">IF(F195="",E195, F195 &amp; " - Original Helptext: " &amp;E195)</f>
        <v>cache_print_lru [section] Print out contents of cache memory.</v>
      </c>
    </row>
    <row r="196" spans="1:24" x14ac:dyDescent="0.25">
      <c r="A196" t="s">
        <v>5251</v>
      </c>
      <c r="C196" t="s">
        <v>328</v>
      </c>
      <c r="D196" t="s">
        <v>25</v>
      </c>
      <c r="E196" t="s">
        <v>5169</v>
      </c>
      <c r="H196" t="str">
        <f t="shared" si="3"/>
        <v>cache_print_summary [section] Print out a summary contents of cache memory.</v>
      </c>
    </row>
    <row r="197" spans="1:24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  <c r="H197" t="str">
        <f t="shared" si="3"/>
        <v>Start a vote on an issue.</v>
      </c>
    </row>
    <row r="198" spans="1:24" x14ac:dyDescent="0.25">
      <c r="A198" t="s">
        <v>5251</v>
      </c>
      <c r="C198" t="s">
        <v>331</v>
      </c>
      <c r="D198">
        <v>1</v>
      </c>
      <c r="E198" t="s">
        <v>332</v>
      </c>
      <c r="H198" t="str">
        <f t="shared" si="3"/>
        <v>When in thirdperson and cam_collision is set to 1, an attempt is made to keep the camera from passing though walls.</v>
      </c>
      <c r="I198" t="s">
        <v>2</v>
      </c>
      <c r="V198" t="s">
        <v>15</v>
      </c>
      <c r="X198" t="s">
        <v>17</v>
      </c>
    </row>
    <row r="199" spans="1:24" x14ac:dyDescent="0.25">
      <c r="A199" t="s">
        <v>5251</v>
      </c>
      <c r="C199" t="s">
        <v>333</v>
      </c>
      <c r="D199" t="s">
        <v>25</v>
      </c>
      <c r="E199" t="s">
        <v>334</v>
      </c>
      <c r="H199" t="str">
        <f t="shared" si="3"/>
        <v>Tells camera to change modes</v>
      </c>
    </row>
    <row r="200" spans="1:24" x14ac:dyDescent="0.25">
      <c r="A200" t="s">
        <v>5251</v>
      </c>
      <c r="C200" t="s">
        <v>335</v>
      </c>
      <c r="D200">
        <v>4</v>
      </c>
      <c r="E200" t="s">
        <v>336</v>
      </c>
      <c r="H200" t="str">
        <f t="shared" si="3"/>
        <v>Controls the speed when matching offset to ideal angles in thirdperson view</v>
      </c>
      <c r="I200" t="s">
        <v>2</v>
      </c>
      <c r="X200" t="s">
        <v>17</v>
      </c>
    </row>
    <row r="201" spans="1:24" x14ac:dyDescent="0.25">
      <c r="A201" t="s">
        <v>5251</v>
      </c>
      <c r="C201" t="s">
        <v>337</v>
      </c>
      <c r="D201">
        <v>150</v>
      </c>
      <c r="H201">
        <f t="shared" si="3"/>
        <v>0</v>
      </c>
      <c r="I201" t="s">
        <v>2</v>
      </c>
      <c r="V201" t="s">
        <v>15</v>
      </c>
      <c r="X201" t="s">
        <v>17</v>
      </c>
    </row>
    <row r="202" spans="1:24" x14ac:dyDescent="0.25">
      <c r="A202" t="s">
        <v>5251</v>
      </c>
      <c r="C202" t="s">
        <v>338</v>
      </c>
      <c r="D202">
        <v>0</v>
      </c>
      <c r="H202">
        <f t="shared" si="3"/>
        <v>0</v>
      </c>
      <c r="I202" t="s">
        <v>2</v>
      </c>
      <c r="V202" t="s">
        <v>15</v>
      </c>
      <c r="X202" t="s">
        <v>17</v>
      </c>
    </row>
    <row r="203" spans="1:24" x14ac:dyDescent="0.25">
      <c r="A203" t="s">
        <v>5251</v>
      </c>
      <c r="C203" t="s">
        <v>339</v>
      </c>
      <c r="D203">
        <v>0</v>
      </c>
      <c r="H203">
        <f t="shared" si="3"/>
        <v>0</v>
      </c>
      <c r="I203" t="s">
        <v>2</v>
      </c>
      <c r="V203" t="s">
        <v>15</v>
      </c>
      <c r="X203" t="s">
        <v>17</v>
      </c>
    </row>
    <row r="204" spans="1:24" x14ac:dyDescent="0.25">
      <c r="A204" t="s">
        <v>5251</v>
      </c>
      <c r="C204" t="s">
        <v>340</v>
      </c>
      <c r="D204">
        <v>4</v>
      </c>
      <c r="E204" t="s">
        <v>341</v>
      </c>
      <c r="H204" t="str">
        <f t="shared" si="3"/>
        <v>Amount of lag used when matching offset to ideal angles in thirdperson view</v>
      </c>
      <c r="I204" t="s">
        <v>2</v>
      </c>
      <c r="X204" t="s">
        <v>17</v>
      </c>
    </row>
    <row r="205" spans="1:24" x14ac:dyDescent="0.25">
      <c r="A205" t="s">
        <v>5251</v>
      </c>
      <c r="C205" t="s">
        <v>342</v>
      </c>
      <c r="D205">
        <v>0</v>
      </c>
      <c r="H205">
        <f t="shared" si="3"/>
        <v>0</v>
      </c>
      <c r="I205" t="s">
        <v>2</v>
      </c>
      <c r="V205" t="s">
        <v>15</v>
      </c>
      <c r="X205" t="s">
        <v>17</v>
      </c>
    </row>
    <row r="206" spans="1:24" x14ac:dyDescent="0.25">
      <c r="A206" t="s">
        <v>5251</v>
      </c>
      <c r="C206" t="s">
        <v>343</v>
      </c>
      <c r="D206">
        <v>0</v>
      </c>
      <c r="H206">
        <f t="shared" si="3"/>
        <v>0</v>
      </c>
      <c r="I206" t="s">
        <v>2</v>
      </c>
      <c r="V206" t="s">
        <v>15</v>
      </c>
      <c r="X206" t="s">
        <v>17</v>
      </c>
    </row>
    <row r="207" spans="1:24" x14ac:dyDescent="0.25">
      <c r="A207" t="s">
        <v>5251</v>
      </c>
      <c r="C207" t="s">
        <v>344</v>
      </c>
      <c r="D207">
        <v>0</v>
      </c>
      <c r="E207" t="s">
        <v>345</v>
      </c>
      <c r="H207" t="str">
        <f t="shared" si="3"/>
        <v>When in thirdperson, print viewangles/idealangles/cameraoffsets to the console.</v>
      </c>
      <c r="L207" t="s">
        <v>5</v>
      </c>
      <c r="X207" t="s">
        <v>17</v>
      </c>
    </row>
    <row r="208" spans="1:24" x14ac:dyDescent="0.25">
      <c r="A208" t="s">
        <v>5251</v>
      </c>
      <c r="C208" t="s">
        <v>346</v>
      </c>
      <c r="D208">
        <v>0</v>
      </c>
      <c r="H208">
        <f t="shared" si="3"/>
        <v>0</v>
      </c>
      <c r="I208" t="s">
        <v>2</v>
      </c>
      <c r="X208" t="s">
        <v>17</v>
      </c>
    </row>
    <row r="209" spans="1:8" x14ac:dyDescent="0.25">
      <c r="A209" t="s">
        <v>5251</v>
      </c>
      <c r="B209" t="s">
        <v>25</v>
      </c>
      <c r="C209" t="s">
        <v>347</v>
      </c>
      <c r="D209" t="s">
        <v>25</v>
      </c>
      <c r="H209">
        <f t="shared" si="3"/>
        <v>0</v>
      </c>
    </row>
    <row r="210" spans="1:8" x14ac:dyDescent="0.25">
      <c r="A210" t="s">
        <v>5251</v>
      </c>
      <c r="B210" t="s">
        <v>25</v>
      </c>
      <c r="C210" t="s">
        <v>348</v>
      </c>
      <c r="D210" t="s">
        <v>25</v>
      </c>
      <c r="H210">
        <f t="shared" si="3"/>
        <v>0</v>
      </c>
    </row>
    <row r="211" spans="1:8" x14ac:dyDescent="0.25">
      <c r="A211" t="s">
        <v>5251</v>
      </c>
      <c r="C211" t="s">
        <v>349</v>
      </c>
      <c r="D211">
        <v>0</v>
      </c>
      <c r="E211" t="s">
        <v>350</v>
      </c>
      <c r="H211" t="str">
        <f t="shared" si="3"/>
        <v>Set to 1 when you're secondary cameraman and need to override the primary cameraman's observer target and mode</v>
      </c>
    </row>
    <row r="212" spans="1:8" x14ac:dyDescent="0.25">
      <c r="A212" t="s">
        <v>5251</v>
      </c>
      <c r="B212" t="s">
        <v>25</v>
      </c>
      <c r="C212" t="s">
        <v>351</v>
      </c>
      <c r="D212" t="s">
        <v>25</v>
      </c>
      <c r="H212">
        <f t="shared" si="3"/>
        <v>0</v>
      </c>
    </row>
    <row r="213" spans="1:8" x14ac:dyDescent="0.25">
      <c r="A213" t="s">
        <v>5251</v>
      </c>
      <c r="B213" t="s">
        <v>25</v>
      </c>
      <c r="C213" t="s">
        <v>352</v>
      </c>
      <c r="D213" t="s">
        <v>25</v>
      </c>
      <c r="H213">
        <f t="shared" si="3"/>
        <v>0</v>
      </c>
    </row>
    <row r="214" spans="1:8" x14ac:dyDescent="0.25">
      <c r="A214" t="s">
        <v>5251</v>
      </c>
      <c r="B214" t="s">
        <v>25</v>
      </c>
      <c r="C214" t="s">
        <v>353</v>
      </c>
      <c r="D214" t="s">
        <v>25</v>
      </c>
      <c r="H214">
        <f t="shared" si="3"/>
        <v>0</v>
      </c>
    </row>
    <row r="215" spans="1:8" x14ac:dyDescent="0.25">
      <c r="A215" t="s">
        <v>5251</v>
      </c>
      <c r="B215" t="s">
        <v>25</v>
      </c>
      <c r="C215" t="s">
        <v>354</v>
      </c>
      <c r="D215" t="s">
        <v>25</v>
      </c>
      <c r="H215">
        <f t="shared" si="3"/>
        <v>0</v>
      </c>
    </row>
    <row r="216" spans="1:8" x14ac:dyDescent="0.25">
      <c r="A216" t="s">
        <v>5251</v>
      </c>
      <c r="B216" t="s">
        <v>25</v>
      </c>
      <c r="C216" t="s">
        <v>355</v>
      </c>
      <c r="D216" t="s">
        <v>25</v>
      </c>
      <c r="H216">
        <f t="shared" si="3"/>
        <v>0</v>
      </c>
    </row>
    <row r="217" spans="1:8" x14ac:dyDescent="0.25">
      <c r="A217" t="s">
        <v>5251</v>
      </c>
      <c r="B217" t="s">
        <v>25</v>
      </c>
      <c r="C217" t="s">
        <v>356</v>
      </c>
      <c r="D217" t="s">
        <v>25</v>
      </c>
      <c r="H217">
        <f t="shared" si="3"/>
        <v>0</v>
      </c>
    </row>
    <row r="218" spans="1:8" x14ac:dyDescent="0.25">
      <c r="A218" t="s">
        <v>5251</v>
      </c>
      <c r="B218" t="s">
        <v>25</v>
      </c>
      <c r="C218" t="s">
        <v>357</v>
      </c>
      <c r="D218" t="s">
        <v>25</v>
      </c>
      <c r="H218">
        <f t="shared" si="3"/>
        <v>0</v>
      </c>
    </row>
    <row r="219" spans="1:8" x14ac:dyDescent="0.25">
      <c r="A219" t="s">
        <v>5251</v>
      </c>
      <c r="B219" t="s">
        <v>25</v>
      </c>
      <c r="C219" t="s">
        <v>358</v>
      </c>
      <c r="D219" t="s">
        <v>25</v>
      </c>
      <c r="H219">
        <f t="shared" si="3"/>
        <v>0</v>
      </c>
    </row>
    <row r="220" spans="1:8" x14ac:dyDescent="0.25">
      <c r="A220" t="s">
        <v>5251</v>
      </c>
      <c r="B220" t="s">
        <v>25</v>
      </c>
      <c r="C220" t="s">
        <v>359</v>
      </c>
      <c r="D220" t="s">
        <v>25</v>
      </c>
      <c r="H220">
        <f t="shared" si="3"/>
        <v>0</v>
      </c>
    </row>
    <row r="221" spans="1:8" x14ac:dyDescent="0.25">
      <c r="A221" t="s">
        <v>5251</v>
      </c>
      <c r="B221" t="s">
        <v>25</v>
      </c>
      <c r="C221" t="s">
        <v>360</v>
      </c>
      <c r="D221" t="s">
        <v>25</v>
      </c>
      <c r="H221">
        <f t="shared" si="3"/>
        <v>0</v>
      </c>
    </row>
    <row r="222" spans="1:8" x14ac:dyDescent="0.25">
      <c r="A222" t="s">
        <v>5251</v>
      </c>
      <c r="B222" t="s">
        <v>25</v>
      </c>
      <c r="C222" t="s">
        <v>361</v>
      </c>
      <c r="D222" t="s">
        <v>25</v>
      </c>
      <c r="H222">
        <f t="shared" si="3"/>
        <v>0</v>
      </c>
    </row>
    <row r="223" spans="1:8" x14ac:dyDescent="0.25">
      <c r="A223" t="s">
        <v>5251</v>
      </c>
      <c r="B223" t="s">
        <v>25</v>
      </c>
      <c r="C223" t="s">
        <v>362</v>
      </c>
      <c r="D223" t="s">
        <v>25</v>
      </c>
      <c r="H223">
        <f t="shared" si="3"/>
        <v>0</v>
      </c>
    </row>
    <row r="224" spans="1:8" x14ac:dyDescent="0.25">
      <c r="A224" t="s">
        <v>5251</v>
      </c>
      <c r="B224" t="s">
        <v>25</v>
      </c>
      <c r="C224" t="s">
        <v>363</v>
      </c>
      <c r="D224" t="s">
        <v>25</v>
      </c>
      <c r="H224">
        <f t="shared" si="3"/>
        <v>0</v>
      </c>
    </row>
    <row r="225" spans="1:24" x14ac:dyDescent="0.25">
      <c r="A225" t="s">
        <v>5251</v>
      </c>
      <c r="B225" t="s">
        <v>25</v>
      </c>
      <c r="C225" t="s">
        <v>364</v>
      </c>
      <c r="D225" t="s">
        <v>25</v>
      </c>
      <c r="H225">
        <f t="shared" si="3"/>
        <v>0</v>
      </c>
    </row>
    <row r="226" spans="1:24" x14ac:dyDescent="0.25">
      <c r="A226" t="s">
        <v>5253</v>
      </c>
      <c r="B226" t="s">
        <v>5258</v>
      </c>
      <c r="C226" t="s">
        <v>365</v>
      </c>
      <c r="D226" t="s">
        <v>25</v>
      </c>
      <c r="H226">
        <f t="shared" si="3"/>
        <v>0</v>
      </c>
    </row>
    <row r="227" spans="1:24" x14ac:dyDescent="0.25">
      <c r="A227" t="s">
        <v>5253</v>
      </c>
      <c r="B227" t="s">
        <v>5257</v>
      </c>
      <c r="C227" t="s">
        <v>366</v>
      </c>
      <c r="D227">
        <v>200</v>
      </c>
      <c r="H227">
        <f t="shared" si="3"/>
        <v>0</v>
      </c>
      <c r="N227" t="s">
        <v>7</v>
      </c>
      <c r="S227" t="s">
        <v>12</v>
      </c>
      <c r="X227" t="s">
        <v>17</v>
      </c>
    </row>
    <row r="228" spans="1:24" x14ac:dyDescent="0.25">
      <c r="A228" t="s">
        <v>5253</v>
      </c>
      <c r="B228" t="s">
        <v>5257</v>
      </c>
      <c r="C228" t="s">
        <v>367</v>
      </c>
      <c r="D228">
        <v>200</v>
      </c>
      <c r="H228">
        <f t="shared" si="3"/>
        <v>0</v>
      </c>
      <c r="N228" t="s">
        <v>7</v>
      </c>
      <c r="S228" t="s">
        <v>12</v>
      </c>
      <c r="X228" t="s">
        <v>17</v>
      </c>
    </row>
    <row r="229" spans="1:24" x14ac:dyDescent="0.25">
      <c r="A229" t="s">
        <v>5253</v>
      </c>
      <c r="B229" t="s">
        <v>5257</v>
      </c>
      <c r="C229" t="s">
        <v>368</v>
      </c>
      <c r="D229">
        <v>-30</v>
      </c>
      <c r="H229">
        <f t="shared" si="3"/>
        <v>0</v>
      </c>
      <c r="N229" t="s">
        <v>7</v>
      </c>
      <c r="S229" t="s">
        <v>12</v>
      </c>
      <c r="X229" t="s">
        <v>17</v>
      </c>
    </row>
    <row r="230" spans="1:24" x14ac:dyDescent="0.25">
      <c r="A230" t="s">
        <v>5253</v>
      </c>
      <c r="B230" t="s">
        <v>5257</v>
      </c>
      <c r="C230" t="s">
        <v>369</v>
      </c>
      <c r="D230">
        <v>0</v>
      </c>
      <c r="H230">
        <f t="shared" si="3"/>
        <v>0</v>
      </c>
      <c r="N230" t="s">
        <v>7</v>
      </c>
      <c r="S230" t="s">
        <v>12</v>
      </c>
      <c r="X230" t="s">
        <v>17</v>
      </c>
    </row>
    <row r="231" spans="1:24" x14ac:dyDescent="0.25">
      <c r="A231" t="s">
        <v>5253</v>
      </c>
      <c r="B231" t="s">
        <v>5257</v>
      </c>
      <c r="C231" t="s">
        <v>370</v>
      </c>
      <c r="D231">
        <v>300</v>
      </c>
      <c r="H231">
        <f t="shared" si="3"/>
        <v>0</v>
      </c>
      <c r="N231" t="s">
        <v>7</v>
      </c>
      <c r="S231" t="s">
        <v>12</v>
      </c>
      <c r="X231" t="s">
        <v>17</v>
      </c>
    </row>
    <row r="232" spans="1:24" x14ac:dyDescent="0.25">
      <c r="A232" t="s">
        <v>5253</v>
      </c>
      <c r="B232" t="s">
        <v>5257</v>
      </c>
      <c r="C232" t="s">
        <v>371</v>
      </c>
      <c r="D232">
        <v>200</v>
      </c>
      <c r="H232">
        <f t="shared" si="3"/>
        <v>0</v>
      </c>
      <c r="N232" t="s">
        <v>7</v>
      </c>
      <c r="S232" t="s">
        <v>12</v>
      </c>
      <c r="X232" t="s">
        <v>17</v>
      </c>
    </row>
    <row r="233" spans="1:24" x14ac:dyDescent="0.25">
      <c r="A233" t="s">
        <v>5253</v>
      </c>
      <c r="B233" t="s">
        <v>5257</v>
      </c>
      <c r="C233" t="s">
        <v>372</v>
      </c>
      <c r="D233">
        <v>0</v>
      </c>
      <c r="H233">
        <f t="shared" si="3"/>
        <v>0</v>
      </c>
      <c r="N233" t="s">
        <v>7</v>
      </c>
      <c r="S233" t="s">
        <v>12</v>
      </c>
      <c r="X233" t="s">
        <v>17</v>
      </c>
    </row>
    <row r="234" spans="1:24" x14ac:dyDescent="0.25">
      <c r="A234" t="s">
        <v>5253</v>
      </c>
      <c r="B234" t="s">
        <v>5257</v>
      </c>
      <c r="C234" t="s">
        <v>373</v>
      </c>
      <c r="D234">
        <v>-1000</v>
      </c>
      <c r="H234">
        <f t="shared" si="3"/>
        <v>0</v>
      </c>
      <c r="N234" t="s">
        <v>7</v>
      </c>
      <c r="S234" t="s">
        <v>12</v>
      </c>
      <c r="X234" t="s">
        <v>17</v>
      </c>
    </row>
    <row r="235" spans="1:24" x14ac:dyDescent="0.25">
      <c r="A235" t="s">
        <v>5253</v>
      </c>
      <c r="B235" t="s">
        <v>5257</v>
      </c>
      <c r="C235" t="s">
        <v>374</v>
      </c>
      <c r="D235">
        <v>-300</v>
      </c>
      <c r="H235">
        <f t="shared" si="3"/>
        <v>0</v>
      </c>
      <c r="N235" t="s">
        <v>7</v>
      </c>
      <c r="S235" t="s">
        <v>12</v>
      </c>
      <c r="X235" t="s">
        <v>17</v>
      </c>
    </row>
    <row r="236" spans="1:24" x14ac:dyDescent="0.25">
      <c r="A236" t="s">
        <v>5253</v>
      </c>
      <c r="B236" t="s">
        <v>5257</v>
      </c>
      <c r="C236" t="s">
        <v>375</v>
      </c>
      <c r="D236">
        <v>1000</v>
      </c>
      <c r="H236">
        <f t="shared" si="3"/>
        <v>0</v>
      </c>
      <c r="N236" t="s">
        <v>7</v>
      </c>
      <c r="S236" t="s">
        <v>12</v>
      </c>
      <c r="X236" t="s">
        <v>17</v>
      </c>
    </row>
    <row r="237" spans="1:24" x14ac:dyDescent="0.25">
      <c r="A237" t="s">
        <v>5253</v>
      </c>
      <c r="B237" t="s">
        <v>5257</v>
      </c>
      <c r="C237" t="s">
        <v>376</v>
      </c>
      <c r="D237">
        <v>0</v>
      </c>
      <c r="H237">
        <f t="shared" si="3"/>
        <v>0</v>
      </c>
      <c r="N237" t="s">
        <v>7</v>
      </c>
      <c r="S237" t="s">
        <v>12</v>
      </c>
      <c r="X237" t="s">
        <v>17</v>
      </c>
    </row>
    <row r="238" spans="1:24" x14ac:dyDescent="0.25">
      <c r="A238" t="s">
        <v>5253</v>
      </c>
      <c r="B238" t="s">
        <v>5257</v>
      </c>
      <c r="C238" t="s">
        <v>377</v>
      </c>
      <c r="D238">
        <v>2700</v>
      </c>
      <c r="H238">
        <f t="shared" si="3"/>
        <v>0</v>
      </c>
      <c r="N238" t="s">
        <v>7</v>
      </c>
      <c r="S238" t="s">
        <v>12</v>
      </c>
      <c r="X238" t="s">
        <v>17</v>
      </c>
    </row>
    <row r="239" spans="1:24" x14ac:dyDescent="0.25">
      <c r="A239" t="s">
        <v>5253</v>
      </c>
      <c r="B239" t="s">
        <v>5257</v>
      </c>
      <c r="C239" t="s">
        <v>378</v>
      </c>
      <c r="D239">
        <v>2300</v>
      </c>
      <c r="H239">
        <f t="shared" si="3"/>
        <v>0</v>
      </c>
      <c r="N239" t="s">
        <v>7</v>
      </c>
      <c r="S239" t="s">
        <v>12</v>
      </c>
      <c r="X239" t="s">
        <v>17</v>
      </c>
    </row>
    <row r="240" spans="1:24" x14ac:dyDescent="0.25">
      <c r="A240" t="s">
        <v>5253</v>
      </c>
      <c r="B240" t="s">
        <v>5257</v>
      </c>
      <c r="C240" t="s">
        <v>379</v>
      </c>
      <c r="D240">
        <v>2000</v>
      </c>
      <c r="H240">
        <f t="shared" si="3"/>
        <v>0</v>
      </c>
      <c r="N240" t="s">
        <v>7</v>
      </c>
      <c r="S240" t="s">
        <v>12</v>
      </c>
      <c r="X240" t="s">
        <v>17</v>
      </c>
    </row>
    <row r="241" spans="1:24" x14ac:dyDescent="0.25">
      <c r="A241" t="s">
        <v>5253</v>
      </c>
      <c r="B241" t="s">
        <v>5257</v>
      </c>
      <c r="C241" t="s">
        <v>380</v>
      </c>
      <c r="D241">
        <v>0</v>
      </c>
      <c r="H241">
        <f t="shared" si="3"/>
        <v>0</v>
      </c>
      <c r="N241" t="s">
        <v>7</v>
      </c>
      <c r="S241" t="s">
        <v>12</v>
      </c>
      <c r="X241" t="s">
        <v>17</v>
      </c>
    </row>
    <row r="242" spans="1:24" x14ac:dyDescent="0.25">
      <c r="A242" t="s">
        <v>5253</v>
      </c>
      <c r="B242" t="s">
        <v>5257</v>
      </c>
      <c r="C242" t="s">
        <v>381</v>
      </c>
      <c r="D242">
        <v>500</v>
      </c>
      <c r="H242">
        <f t="shared" si="3"/>
        <v>0</v>
      </c>
      <c r="N242" t="s">
        <v>7</v>
      </c>
      <c r="S242" t="s">
        <v>12</v>
      </c>
      <c r="X242" t="s">
        <v>17</v>
      </c>
    </row>
    <row r="243" spans="1:24" x14ac:dyDescent="0.25">
      <c r="A243" t="s">
        <v>5253</v>
      </c>
      <c r="B243" t="s">
        <v>5257</v>
      </c>
      <c r="C243" t="s">
        <v>382</v>
      </c>
      <c r="D243">
        <v>2400</v>
      </c>
      <c r="H243">
        <f t="shared" si="3"/>
        <v>0</v>
      </c>
      <c r="N243" t="s">
        <v>7</v>
      </c>
      <c r="S243" t="s">
        <v>12</v>
      </c>
      <c r="X243" t="s">
        <v>17</v>
      </c>
    </row>
    <row r="244" spans="1:24" x14ac:dyDescent="0.25">
      <c r="A244" t="s">
        <v>5253</v>
      </c>
      <c r="B244" t="s">
        <v>5257</v>
      </c>
      <c r="C244" t="s">
        <v>383</v>
      </c>
      <c r="D244">
        <v>0</v>
      </c>
      <c r="H244">
        <f t="shared" si="3"/>
        <v>0</v>
      </c>
      <c r="N244" t="s">
        <v>7</v>
      </c>
      <c r="S244" t="s">
        <v>12</v>
      </c>
      <c r="X244" t="s">
        <v>17</v>
      </c>
    </row>
    <row r="245" spans="1:24" x14ac:dyDescent="0.25">
      <c r="A245" t="s">
        <v>5253</v>
      </c>
      <c r="B245" t="s">
        <v>5257</v>
      </c>
      <c r="C245" t="s">
        <v>384</v>
      </c>
      <c r="D245">
        <v>200</v>
      </c>
      <c r="H245">
        <f t="shared" si="3"/>
        <v>0</v>
      </c>
      <c r="N245" t="s">
        <v>7</v>
      </c>
      <c r="S245" t="s">
        <v>12</v>
      </c>
      <c r="X245" t="s">
        <v>17</v>
      </c>
    </row>
    <row r="246" spans="1:24" x14ac:dyDescent="0.25">
      <c r="A246" t="s">
        <v>5253</v>
      </c>
      <c r="B246" t="s">
        <v>5257</v>
      </c>
      <c r="C246" t="s">
        <v>385</v>
      </c>
      <c r="D246">
        <v>0</v>
      </c>
      <c r="H246">
        <f t="shared" si="3"/>
        <v>0</v>
      </c>
      <c r="N246" t="s">
        <v>7</v>
      </c>
      <c r="S246" t="s">
        <v>12</v>
      </c>
      <c r="X246" t="s">
        <v>17</v>
      </c>
    </row>
    <row r="247" spans="1:24" x14ac:dyDescent="0.25">
      <c r="A247" t="s">
        <v>5253</v>
      </c>
      <c r="B247" t="s">
        <v>5257</v>
      </c>
      <c r="C247" t="s">
        <v>386</v>
      </c>
      <c r="D247">
        <v>1000</v>
      </c>
      <c r="H247">
        <f t="shared" si="3"/>
        <v>0</v>
      </c>
      <c r="N247" t="s">
        <v>7</v>
      </c>
      <c r="S247" t="s">
        <v>12</v>
      </c>
      <c r="X247" t="s">
        <v>17</v>
      </c>
    </row>
    <row r="248" spans="1:24" x14ac:dyDescent="0.25">
      <c r="A248" t="s">
        <v>5253</v>
      </c>
      <c r="B248" t="s">
        <v>5257</v>
      </c>
      <c r="C248" t="s">
        <v>387</v>
      </c>
      <c r="D248">
        <v>2700</v>
      </c>
      <c r="H248">
        <f t="shared" si="3"/>
        <v>0</v>
      </c>
      <c r="N248" t="s">
        <v>7</v>
      </c>
      <c r="S248" t="s">
        <v>12</v>
      </c>
      <c r="X248" t="s">
        <v>17</v>
      </c>
    </row>
    <row r="249" spans="1:24" x14ac:dyDescent="0.25">
      <c r="A249" t="s">
        <v>5253</v>
      </c>
      <c r="B249" t="s">
        <v>5257</v>
      </c>
      <c r="C249" t="s">
        <v>388</v>
      </c>
      <c r="D249">
        <v>2700</v>
      </c>
      <c r="H249">
        <f t="shared" si="3"/>
        <v>0</v>
      </c>
      <c r="N249" t="s">
        <v>7</v>
      </c>
      <c r="S249" t="s">
        <v>12</v>
      </c>
      <c r="X249" t="s">
        <v>17</v>
      </c>
    </row>
    <row r="250" spans="1:24" x14ac:dyDescent="0.25">
      <c r="A250" t="s">
        <v>5253</v>
      </c>
      <c r="B250" t="s">
        <v>5257</v>
      </c>
      <c r="C250" t="s">
        <v>389</v>
      </c>
      <c r="D250">
        <v>3000</v>
      </c>
      <c r="H250">
        <f t="shared" si="3"/>
        <v>0</v>
      </c>
      <c r="N250" t="s">
        <v>7</v>
      </c>
      <c r="S250" t="s">
        <v>12</v>
      </c>
      <c r="X250" t="s">
        <v>17</v>
      </c>
    </row>
    <row r="251" spans="1:24" x14ac:dyDescent="0.25">
      <c r="A251" t="s">
        <v>5253</v>
      </c>
      <c r="B251" t="s">
        <v>5257</v>
      </c>
      <c r="C251" t="s">
        <v>390</v>
      </c>
      <c r="D251">
        <v>2700</v>
      </c>
      <c r="H251">
        <f t="shared" si="3"/>
        <v>0</v>
      </c>
      <c r="N251" t="s">
        <v>7</v>
      </c>
      <c r="S251" t="s">
        <v>12</v>
      </c>
      <c r="X251" t="s">
        <v>17</v>
      </c>
    </row>
    <row r="252" spans="1:24" x14ac:dyDescent="0.25">
      <c r="A252" t="s">
        <v>5253</v>
      </c>
      <c r="B252" t="s">
        <v>5257</v>
      </c>
      <c r="C252" t="s">
        <v>391</v>
      </c>
      <c r="D252">
        <v>2000</v>
      </c>
      <c r="H252">
        <f t="shared" si="3"/>
        <v>0</v>
      </c>
      <c r="N252" t="s">
        <v>7</v>
      </c>
      <c r="S252" t="s">
        <v>12</v>
      </c>
      <c r="X252" t="s">
        <v>17</v>
      </c>
    </row>
    <row r="253" spans="1:24" x14ac:dyDescent="0.25">
      <c r="A253" t="s">
        <v>5253</v>
      </c>
      <c r="B253" t="s">
        <v>5257</v>
      </c>
      <c r="C253" t="s">
        <v>392</v>
      </c>
      <c r="D253">
        <v>0</v>
      </c>
      <c r="H253">
        <f t="shared" si="3"/>
        <v>0</v>
      </c>
      <c r="N253" t="s">
        <v>7</v>
      </c>
      <c r="S253" t="s">
        <v>12</v>
      </c>
      <c r="X253" t="s">
        <v>17</v>
      </c>
    </row>
    <row r="254" spans="1:24" x14ac:dyDescent="0.25">
      <c r="A254" t="s">
        <v>5251</v>
      </c>
      <c r="C254" t="s">
        <v>393</v>
      </c>
      <c r="D254" t="s">
        <v>25</v>
      </c>
      <c r="E254" t="s">
        <v>394</v>
      </c>
      <c r="H254" t="str">
        <f t="shared" si="3"/>
        <v>Tests hull collision detection</v>
      </c>
    </row>
    <row r="255" spans="1:24" x14ac:dyDescent="0.25">
      <c r="A255" t="s">
        <v>5251</v>
      </c>
      <c r="C255" t="s">
        <v>395</v>
      </c>
      <c r="D255" t="s">
        <v>25</v>
      </c>
      <c r="E255" t="s">
        <v>396</v>
      </c>
      <c r="H255" t="str">
        <f t="shared" si="3"/>
        <v>Tests collision detection</v>
      </c>
    </row>
    <row r="256" spans="1:24" x14ac:dyDescent="0.25">
      <c r="A256" t="s">
        <v>5252</v>
      </c>
      <c r="C256" t="s">
        <v>397</v>
      </c>
      <c r="D256" t="s">
        <v>25</v>
      </c>
      <c r="E256" t="s">
        <v>398</v>
      </c>
      <c r="H256" t="str">
        <f t="shared" si="3"/>
        <v>Emits a closed caption</v>
      </c>
    </row>
    <row r="257" spans="1:24" x14ac:dyDescent="0.25">
      <c r="A257" t="s">
        <v>5252</v>
      </c>
      <c r="C257" t="s">
        <v>399</v>
      </c>
      <c r="D257" t="s">
        <v>25</v>
      </c>
      <c r="E257" t="s">
        <v>400</v>
      </c>
      <c r="H257" t="str">
        <f t="shared" si="3"/>
        <v>Searches for soundname which emits specified text.</v>
      </c>
    </row>
    <row r="258" spans="1:24" x14ac:dyDescent="0.25">
      <c r="A258" t="s">
        <v>5252</v>
      </c>
      <c r="C258" t="s">
        <v>401</v>
      </c>
      <c r="D258" t="s">
        <v>25</v>
      </c>
      <c r="E258" t="s">
        <v>402</v>
      </c>
      <c r="H258" t="str">
        <f t="shared" si="3"/>
        <v>Flushes async'd captions.</v>
      </c>
    </row>
    <row r="259" spans="1:24" x14ac:dyDescent="0.25">
      <c r="A259" t="s">
        <v>5252</v>
      </c>
      <c r="C259" t="s">
        <v>403</v>
      </c>
      <c r="D259">
        <v>0</v>
      </c>
      <c r="E259" t="s">
        <v>404</v>
      </c>
      <c r="H259" t="str">
        <f t="shared" ref="H259:H322" si="4">IF(F259="",E259, F259 &amp; " - Original Helptext: " &amp;E259)</f>
        <v>Current close caption language (emtpy = use game UI language)</v>
      </c>
      <c r="I259" t="s">
        <v>2</v>
      </c>
      <c r="X259" t="s">
        <v>17</v>
      </c>
    </row>
    <row r="260" spans="1:24" x14ac:dyDescent="0.25">
      <c r="A260" t="s">
        <v>5252</v>
      </c>
      <c r="C260" t="s">
        <v>405</v>
      </c>
      <c r="D260">
        <v>1</v>
      </c>
      <c r="E260" t="s">
        <v>406</v>
      </c>
      <c r="H260" t="str">
        <f t="shared" si="4"/>
        <v>Close caption linger time.</v>
      </c>
      <c r="I260" t="s">
        <v>2</v>
      </c>
      <c r="X260" t="s">
        <v>17</v>
      </c>
    </row>
    <row r="261" spans="1:24" x14ac:dyDescent="0.25">
      <c r="A261" t="s">
        <v>5252</v>
      </c>
      <c r="C261" t="s">
        <v>407</v>
      </c>
      <c r="D261">
        <v>0</v>
      </c>
      <c r="E261" t="s">
        <v>408</v>
      </c>
      <c r="H261" t="str">
        <f t="shared" si="4"/>
        <v>Close caption delay before showing caption.</v>
      </c>
      <c r="I261" t="s">
        <v>2</v>
      </c>
      <c r="X261" t="s">
        <v>17</v>
      </c>
    </row>
    <row r="262" spans="1:24" x14ac:dyDescent="0.25">
      <c r="A262" t="s">
        <v>5252</v>
      </c>
      <c r="C262" t="s">
        <v>409</v>
      </c>
      <c r="D262" t="s">
        <v>25</v>
      </c>
      <c r="E262" t="s">
        <v>410</v>
      </c>
      <c r="H262" t="str">
        <f t="shared" si="4"/>
        <v>Emits a random caption</v>
      </c>
    </row>
    <row r="263" spans="1:24" x14ac:dyDescent="0.25">
      <c r="A263" t="s">
        <v>5251</v>
      </c>
      <c r="C263" t="s">
        <v>411</v>
      </c>
      <c r="D263" t="s">
        <v>25</v>
      </c>
      <c r="E263" t="s">
        <v>412</v>
      </c>
      <c r="H263" t="str">
        <f t="shared" si="4"/>
        <v>Toggles showing which blocks are pending/loaded async.</v>
      </c>
    </row>
    <row r="264" spans="1:24" x14ac:dyDescent="0.25">
      <c r="A264" t="s">
        <v>5251</v>
      </c>
      <c r="C264" t="s">
        <v>413</v>
      </c>
      <c r="D264">
        <v>0</v>
      </c>
      <c r="E264" t="s">
        <v>414</v>
      </c>
      <c r="H264" t="str">
        <f t="shared" si="4"/>
        <v>If set, don't show sound effect captions, just voice overs (i.e., won't help hearing impaired players).</v>
      </c>
      <c r="I264" t="s">
        <v>2</v>
      </c>
      <c r="X264" t="s">
        <v>17</v>
      </c>
    </row>
    <row r="265" spans="1:24" x14ac:dyDescent="0.25">
      <c r="A265" t="s">
        <v>5251</v>
      </c>
      <c r="B265" t="s">
        <v>5258</v>
      </c>
      <c r="C265" t="s">
        <v>415</v>
      </c>
      <c r="D265" t="s">
        <v>25</v>
      </c>
      <c r="H265">
        <f t="shared" si="4"/>
        <v>0</v>
      </c>
    </row>
    <row r="266" spans="1:24" x14ac:dyDescent="0.25">
      <c r="A266" t="s">
        <v>5251</v>
      </c>
      <c r="C266" t="s">
        <v>416</v>
      </c>
      <c r="D266" t="s">
        <v>25</v>
      </c>
      <c r="E266" t="s">
        <v>417</v>
      </c>
      <c r="H266" t="str">
        <f t="shared" si="4"/>
        <v>Spawn airboat in front of the player.</v>
      </c>
    </row>
    <row r="267" spans="1:24" x14ac:dyDescent="0.25">
      <c r="A267" t="s">
        <v>5251</v>
      </c>
      <c r="C267" t="s">
        <v>418</v>
      </c>
      <c r="D267" t="s">
        <v>25</v>
      </c>
      <c r="E267" t="s">
        <v>419</v>
      </c>
      <c r="H267" t="str">
        <f t="shared" si="4"/>
        <v>Spawn jeep in front of the player.</v>
      </c>
    </row>
    <row r="268" spans="1:24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  <c r="H268" t="str">
        <f t="shared" si="4"/>
        <v>Change server to the specified map</v>
      </c>
    </row>
    <row r="269" spans="1:24" x14ac:dyDescent="0.25">
      <c r="A269" t="s">
        <v>5251</v>
      </c>
      <c r="C269" t="s">
        <v>422</v>
      </c>
      <c r="D269" t="s">
        <v>25</v>
      </c>
      <c r="E269" t="s">
        <v>423</v>
      </c>
      <c r="H269" t="str">
        <f t="shared" si="4"/>
        <v>Transition to the specified map in single player</v>
      </c>
    </row>
    <row r="270" spans="1:24" x14ac:dyDescent="0.25">
      <c r="A270" t="s">
        <v>5252</v>
      </c>
      <c r="C270" t="s">
        <v>424</v>
      </c>
      <c r="D270" t="s">
        <v>25</v>
      </c>
      <c r="E270" t="s">
        <v>425</v>
      </c>
      <c r="H270" t="str">
        <f t="shared" si="4"/>
        <v>Creates a ping notification triggered by the chatwheel.</v>
      </c>
    </row>
    <row r="271" spans="1:24" x14ac:dyDescent="0.25">
      <c r="A271" t="s">
        <v>5251</v>
      </c>
      <c r="C271" t="s">
        <v>426</v>
      </c>
      <c r="D271">
        <v>0</v>
      </c>
      <c r="E271" t="s">
        <v>427</v>
      </c>
      <c r="H271" t="str">
        <f t="shared" si="4"/>
        <v>If set one, many debug prints to help track down the TLK_IDLE issue. Set two for super verbose info</v>
      </c>
      <c r="I271" t="s">
        <v>2</v>
      </c>
      <c r="K271" t="s">
        <v>4</v>
      </c>
    </row>
    <row r="272" spans="1:24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H272" t="str">
        <f t="shared" si="4"/>
        <v>Client downloads customization files</v>
      </c>
      <c r="I272" t="s">
        <v>2</v>
      </c>
    </row>
    <row r="273" spans="1:25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H273" t="str">
        <f t="shared" si="4"/>
        <v>Client uploads customization files</v>
      </c>
      <c r="I273" t="s">
        <v>2</v>
      </c>
    </row>
    <row r="274" spans="1:25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  <c r="H274" t="str">
        <f t="shared" si="4"/>
        <v>Hud element to examine.</v>
      </c>
    </row>
    <row r="275" spans="1:25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H275" t="str">
        <f t="shared" si="4"/>
        <v>The order in which autobuy will attempt to purchase items</v>
      </c>
      <c r="X275" t="s">
        <v>17</v>
      </c>
    </row>
    <row r="276" spans="1:25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H276" t="str">
        <f t="shared" si="4"/>
        <v>Auto-help</v>
      </c>
      <c r="I276" t="s">
        <v>2</v>
      </c>
      <c r="M276" t="s">
        <v>6</v>
      </c>
      <c r="X276" t="s">
        <v>17</v>
      </c>
    </row>
    <row r="277" spans="1:25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H277" t="str">
        <f t="shared" si="4"/>
        <v>Automatically switch to picked up weapons (if more powerful)</v>
      </c>
      <c r="I277" t="s">
        <v>2</v>
      </c>
      <c r="M277" t="s">
        <v>6</v>
      </c>
      <c r="X277" t="s">
        <v>17</v>
      </c>
      <c r="Y277" t="s">
        <v>18</v>
      </c>
    </row>
    <row r="278" spans="1:25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  <c r="H278" t="str">
        <f t="shared" si="4"/>
        <v>Converts all rgb avatars in the avatars directory to png</v>
      </c>
    </row>
    <row r="279" spans="1:25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  <c r="H279" t="str">
        <f t="shared" si="4"/>
        <v>Converts all png avatars in the avatars directory to rgb</v>
      </c>
    </row>
    <row r="280" spans="1:25" x14ac:dyDescent="0.25">
      <c r="A280" t="s">
        <v>5251</v>
      </c>
      <c r="B280" t="s">
        <v>5259</v>
      </c>
      <c r="C280" t="s">
        <v>444</v>
      </c>
      <c r="D280">
        <v>450</v>
      </c>
      <c r="H280">
        <f t="shared" si="4"/>
        <v>0</v>
      </c>
      <c r="L280" t="s">
        <v>5</v>
      </c>
      <c r="X280" t="s">
        <v>17</v>
      </c>
    </row>
    <row r="281" spans="1:25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H281" t="str">
        <f t="shared" si="4"/>
        <v>The amount the viewmodel lowers when running</v>
      </c>
      <c r="I281" t="s">
        <v>2</v>
      </c>
      <c r="X281" t="s">
        <v>17</v>
      </c>
    </row>
    <row r="282" spans="1:25" x14ac:dyDescent="0.25">
      <c r="A282" t="s">
        <v>5251</v>
      </c>
      <c r="B282" t="s">
        <v>5259</v>
      </c>
      <c r="C282" t="s">
        <v>447</v>
      </c>
      <c r="D282">
        <v>0</v>
      </c>
      <c r="H282">
        <f t="shared" si="4"/>
        <v>0</v>
      </c>
      <c r="L282" t="s">
        <v>5</v>
      </c>
      <c r="X282" t="s">
        <v>17</v>
      </c>
    </row>
    <row r="283" spans="1:25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H283" t="str">
        <f t="shared" si="4"/>
        <v>The amount the viewmodel moves side to side when running</v>
      </c>
      <c r="I283" t="s">
        <v>2</v>
      </c>
      <c r="X283" t="s">
        <v>17</v>
      </c>
    </row>
    <row r="284" spans="1:25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H284" t="str">
        <f t="shared" si="4"/>
        <v>The amount the viewmodel moves up and down when running</v>
      </c>
      <c r="I284" t="s">
        <v>2</v>
      </c>
      <c r="X284" t="s">
        <v>17</v>
      </c>
    </row>
    <row r="285" spans="1:25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H285" t="str">
        <f t="shared" si="4"/>
        <v>the frequency at which the viewmodel bobs.</v>
      </c>
      <c r="I285" t="s">
        <v>2</v>
      </c>
      <c r="X285" t="s">
        <v>17</v>
      </c>
    </row>
    <row r="286" spans="1:25" x14ac:dyDescent="0.25">
      <c r="A286" t="s">
        <v>5251</v>
      </c>
      <c r="B286" t="s">
        <v>5259</v>
      </c>
      <c r="C286" t="s">
        <v>454</v>
      </c>
      <c r="D286">
        <v>0</v>
      </c>
      <c r="H286">
        <f t="shared" si="4"/>
        <v>0</v>
      </c>
      <c r="L286" t="s">
        <v>5</v>
      </c>
      <c r="X286" t="s">
        <v>17</v>
      </c>
    </row>
    <row r="287" spans="1:25" x14ac:dyDescent="0.25">
      <c r="A287" t="s">
        <v>5251</v>
      </c>
      <c r="B287" t="s">
        <v>5259</v>
      </c>
      <c r="C287" t="s">
        <v>455</v>
      </c>
      <c r="D287">
        <v>1</v>
      </c>
      <c r="H287">
        <f t="shared" si="4"/>
        <v>0</v>
      </c>
      <c r="L287" t="s">
        <v>5</v>
      </c>
      <c r="X287" t="s">
        <v>17</v>
      </c>
    </row>
    <row r="288" spans="1:25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H288" t="str">
        <f t="shared" si="4"/>
        <v>Set the key to use for donation in the buy menu. 0: Left Control; 1: Left Alt; 2: Left Shift.</v>
      </c>
      <c r="I288" t="s">
        <v>2</v>
      </c>
      <c r="X288" t="s">
        <v>17</v>
      </c>
      <c r="Y288" t="s">
        <v>18</v>
      </c>
    </row>
    <row r="289" spans="1:25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H289" t="str">
        <f t="shared" si="4"/>
        <v>Set non-zero to prevent buy wheel from centering mouse into the wheel origin</v>
      </c>
      <c r="I289" t="s">
        <v>2</v>
      </c>
      <c r="X289" t="s">
        <v>17</v>
      </c>
      <c r="Y289" t="s">
        <v>18</v>
      </c>
    </row>
    <row r="290" spans="1:25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H290" t="str">
        <f t="shared" si="4"/>
        <v>Set non-zero to prevent buy wheel from purchasing via number keys</v>
      </c>
      <c r="I290" t="s">
        <v>2</v>
      </c>
      <c r="X290" t="s">
        <v>17</v>
      </c>
      <c r="Y290" t="s">
        <v>18</v>
      </c>
    </row>
    <row r="291" spans="1:25" x14ac:dyDescent="0.25">
      <c r="A291" t="s">
        <v>5251</v>
      </c>
      <c r="B291" t="s">
        <v>5259</v>
      </c>
      <c r="C291" t="s">
        <v>462</v>
      </c>
      <c r="D291">
        <v>0</v>
      </c>
      <c r="H291">
        <f t="shared" si="4"/>
        <v>0</v>
      </c>
      <c r="X291" t="s">
        <v>17</v>
      </c>
    </row>
    <row r="292" spans="1:25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H292" t="str">
        <f t="shared" si="4"/>
        <v>Index of the bone to follow.  -2 == disabled.  -1 == root bone.  0+ is bone index.</v>
      </c>
      <c r="L292" t="s">
        <v>5</v>
      </c>
      <c r="X292" t="s">
        <v>17</v>
      </c>
    </row>
    <row r="293" spans="1:25" x14ac:dyDescent="0.25">
      <c r="A293" t="s">
        <v>5251</v>
      </c>
      <c r="B293" t="s">
        <v>5259</v>
      </c>
      <c r="C293" t="s">
        <v>465</v>
      </c>
      <c r="D293">
        <v>0</v>
      </c>
      <c r="H293">
        <f t="shared" si="4"/>
        <v>0</v>
      </c>
      <c r="L293" t="s">
        <v>5</v>
      </c>
      <c r="S293" t="s">
        <v>12</v>
      </c>
      <c r="X293" t="s">
        <v>17</v>
      </c>
    </row>
    <row r="294" spans="1:25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H294" t="str">
        <f t="shared" si="4"/>
        <v xml:space="preserve">Stores the chat filter settings </v>
      </c>
      <c r="I294" t="s">
        <v>2</v>
      </c>
      <c r="X294" t="s">
        <v>17</v>
      </c>
    </row>
    <row r="295" spans="1:25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  <c r="H295" t="str">
        <f t="shared" si="4"/>
        <v>Clear memory of client side hints displayed to the player.</v>
      </c>
    </row>
    <row r="296" spans="1:25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H296" t="str">
        <f t="shared" si="4"/>
        <v>Enable/disable clock correction on the client.</v>
      </c>
      <c r="L296" t="s">
        <v>5</v>
      </c>
    </row>
    <row r="297" spans="1:25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H297" t="str">
        <f t="shared" si="4"/>
        <v xml:space="preserve">Sets the maximum number of milliseconds per second it is allowed to correct the client clock. It will only correct this amount </v>
      </c>
      <c r="L297" t="s">
        <v>5</v>
      </c>
    </row>
    <row r="298" spans="1:25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H298" t="str">
        <f t="shared" si="4"/>
        <v>As the clock offset goes from cl_clock_correction_adjustment_min_offset to this value (in milliseconds), it moves towards apply</v>
      </c>
      <c r="L298" t="s">
        <v>5</v>
      </c>
    </row>
    <row r="299" spans="1:25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H299" t="str">
        <f t="shared" si="4"/>
        <v>If the clock offset is less than this amount (in milliseconds), then no clock correction is applied.</v>
      </c>
      <c r="L299" t="s">
        <v>5</v>
      </c>
    </row>
    <row r="300" spans="1:25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H300" t="str">
        <f t="shared" si="4"/>
        <v>Force clock correction to match the server tick + this offset (-999 disables it).</v>
      </c>
      <c r="L300" t="s">
        <v>5</v>
      </c>
    </row>
    <row r="301" spans="1:25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H301" t="str">
        <f t="shared" si="4"/>
        <v xml:space="preserve">Show debugging info about the clock drift. </v>
      </c>
      <c r="L301" t="s">
        <v>5</v>
      </c>
    </row>
    <row r="302" spans="1:25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H302" t="str">
        <f t="shared" si="4"/>
        <v>Maximum number of milliseconds the clock is allowed to drift before the client snaps its clock to the server's.</v>
      </c>
      <c r="L302" t="s">
        <v>5</v>
      </c>
    </row>
    <row r="303" spans="1:25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H303" t="str">
        <f t="shared" si="4"/>
        <v>Maximum number of milliseconds the clock is allowed to drift before the client snaps its clock to the server's.</v>
      </c>
      <c r="L303" t="s">
        <v>5</v>
      </c>
    </row>
    <row r="304" spans="1:25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H304" t="str">
        <f t="shared" si="4"/>
        <v>Max number of command packets sent to server per second</v>
      </c>
      <c r="I304" t="s">
        <v>2</v>
      </c>
      <c r="M304" t="s">
        <v>6</v>
      </c>
    </row>
    <row r="305" spans="1:25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H305" t="str">
        <f t="shared" si="4"/>
        <v>Preferred teammate color</v>
      </c>
      <c r="I305" t="s">
        <v>2</v>
      </c>
      <c r="M305" t="s">
        <v>6</v>
      </c>
    </row>
    <row r="306" spans="1:25" x14ac:dyDescent="0.25">
      <c r="A306" t="s">
        <v>5251</v>
      </c>
      <c r="B306" t="s">
        <v>5259</v>
      </c>
      <c r="C306" t="s">
        <v>489</v>
      </c>
      <c r="D306">
        <v>1</v>
      </c>
      <c r="H306">
        <f t="shared" si="4"/>
        <v>0</v>
      </c>
      <c r="I306" t="s">
        <v>2</v>
      </c>
      <c r="X306" t="s">
        <v>17</v>
      </c>
    </row>
    <row r="307" spans="1:25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H307" t="str">
        <f t="shared" si="4"/>
        <v>Show connection trouble HUD warnings</v>
      </c>
      <c r="X307" t="s">
        <v>17</v>
      </c>
    </row>
    <row r="308" spans="1:25" x14ac:dyDescent="0.25">
      <c r="A308" t="s">
        <v>5251</v>
      </c>
      <c r="B308" t="s">
        <v>5259</v>
      </c>
      <c r="C308" t="s">
        <v>492</v>
      </c>
      <c r="D308">
        <v>0</v>
      </c>
      <c r="H308">
        <f t="shared" si="4"/>
        <v>0</v>
      </c>
      <c r="L308" t="s">
        <v>5</v>
      </c>
      <c r="X308" t="s">
        <v>17</v>
      </c>
    </row>
    <row r="309" spans="1:25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H309" t="str">
        <f t="shared" si="4"/>
        <v>Draws a black outline around the crosshair for better visibility</v>
      </c>
      <c r="I309" t="s">
        <v>2</v>
      </c>
      <c r="X309" t="s">
        <v>17</v>
      </c>
      <c r="Y309" t="s">
        <v>18</v>
      </c>
    </row>
    <row r="310" spans="1:25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H310" t="str">
        <f t="shared" si="4"/>
        <v>If using cl_crosshairstyle 2, this is the ratio used to determine how long the inner and outer xhair pips will be. [inner = cl_</v>
      </c>
      <c r="I310" t="s">
        <v>2</v>
      </c>
      <c r="X310" t="s">
        <v>17</v>
      </c>
      <c r="Y310" t="s">
        <v>18</v>
      </c>
    </row>
    <row r="311" spans="1:25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H311" t="str">
        <f t="shared" si="4"/>
        <v>If using cl_crosshairstyle 2, this is the alpha modification that will be used for the INNER crosshair pips once they've split.</v>
      </c>
      <c r="I311" t="s">
        <v>2</v>
      </c>
      <c r="X311" t="s">
        <v>17</v>
      </c>
      <c r="Y311" t="s">
        <v>18</v>
      </c>
    </row>
    <row r="312" spans="1:25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H312" t="str">
        <f t="shared" si="4"/>
        <v>If using cl_crosshairstyle 2, this is the alpha modification that will be used for the OUTER crosshair pips once they've split.</v>
      </c>
      <c r="I312" t="s">
        <v>2</v>
      </c>
      <c r="X312" t="s">
        <v>17</v>
      </c>
      <c r="Y312" t="s">
        <v>18</v>
      </c>
    </row>
    <row r="313" spans="1:25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H313" t="str">
        <f t="shared" si="4"/>
        <v>If using cl_crosshairstyle 2, this is the distance that the crosshair pips will split into 2. (default is 7)</v>
      </c>
      <c r="I313" t="s">
        <v>2</v>
      </c>
      <c r="X313" t="s">
        <v>17</v>
      </c>
      <c r="Y313" t="s">
        <v>18</v>
      </c>
    </row>
    <row r="314" spans="1:25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H314" t="str">
        <f t="shared" si="4"/>
        <v>0: always off, 1: only on default crosshair styles, 2: always on</v>
      </c>
      <c r="I314" t="s">
        <v>2</v>
      </c>
      <c r="X314" t="s">
        <v>17</v>
      </c>
    </row>
    <row r="315" spans="1:25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H315" t="str">
        <f t="shared" si="4"/>
        <v>Set how thick you want your crosshair outline to draw (0-3)</v>
      </c>
      <c r="I315" t="s">
        <v>2</v>
      </c>
      <c r="X315" t="s">
        <v>17</v>
      </c>
      <c r="Y315" t="s">
        <v>18</v>
      </c>
    </row>
    <row r="316" spans="1:25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H316" t="str">
        <f t="shared" si="4"/>
        <v>Recoil/aimpunch will move the user's crosshair to show the effect</v>
      </c>
      <c r="L316" t="s">
        <v>5</v>
      </c>
      <c r="X316" t="s">
        <v>17</v>
      </c>
    </row>
    <row r="317" spans="1:25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H317" t="str">
        <f t="shared" si="4"/>
        <v>Include standing inaccuracy when determining sniper crosshair blur</v>
      </c>
      <c r="I317" t="s">
        <v>2</v>
      </c>
      <c r="X317" t="s">
        <v>17</v>
      </c>
      <c r="Y317" t="s">
        <v>18</v>
      </c>
    </row>
    <row r="318" spans="1:25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H318" t="str">
        <f t="shared" si="4"/>
        <v>If &gt;1 sniper scope cross lines gain extra width (1 for single-pixel hairline)</v>
      </c>
      <c r="I318" t="s">
        <v>2</v>
      </c>
      <c r="X318" t="s">
        <v>17</v>
      </c>
      <c r="Y318" t="s">
        <v>18</v>
      </c>
    </row>
    <row r="319" spans="1:25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H319" t="str">
        <f t="shared" si="4"/>
        <v>T style crosshair</v>
      </c>
      <c r="I319" t="s">
        <v>2</v>
      </c>
      <c r="X319" t="s">
        <v>17</v>
      </c>
      <c r="Y319" t="s">
        <v>18</v>
      </c>
    </row>
    <row r="320" spans="1:25" x14ac:dyDescent="0.25">
      <c r="A320" t="s">
        <v>5251</v>
      </c>
      <c r="B320" t="s">
        <v>5259</v>
      </c>
      <c r="C320" t="s">
        <v>515</v>
      </c>
      <c r="D320">
        <v>255</v>
      </c>
      <c r="H320">
        <f t="shared" si="4"/>
        <v>0</v>
      </c>
      <c r="I320" t="s">
        <v>2</v>
      </c>
      <c r="X320" t="s">
        <v>17</v>
      </c>
      <c r="Y320" t="s">
        <v>18</v>
      </c>
    </row>
    <row r="321" spans="1:25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H321" t="str">
        <f t="shared" si="4"/>
        <v>Set crosshair color as defined in game_options.consoles.txt</v>
      </c>
      <c r="I321" t="s">
        <v>2</v>
      </c>
      <c r="X321" t="s">
        <v>17</v>
      </c>
      <c r="Y321" t="s">
        <v>18</v>
      </c>
    </row>
    <row r="322" spans="1:25" x14ac:dyDescent="0.25">
      <c r="A322" t="s">
        <v>5251</v>
      </c>
      <c r="B322" t="s">
        <v>5259</v>
      </c>
      <c r="C322" t="s">
        <v>518</v>
      </c>
      <c r="D322">
        <v>255</v>
      </c>
      <c r="H322">
        <f t="shared" si="4"/>
        <v>0</v>
      </c>
      <c r="I322" t="s">
        <v>2</v>
      </c>
      <c r="X322" t="s">
        <v>17</v>
      </c>
      <c r="Y322" t="s">
        <v>18</v>
      </c>
    </row>
    <row r="323" spans="1:25" x14ac:dyDescent="0.25">
      <c r="A323" t="s">
        <v>5251</v>
      </c>
      <c r="B323" t="s">
        <v>5259</v>
      </c>
      <c r="C323" t="s">
        <v>519</v>
      </c>
      <c r="D323">
        <v>255</v>
      </c>
      <c r="H323">
        <f t="shared" ref="H323:H386" si="5">IF(F323="",E323, F323 &amp; " - Original Helptext: " &amp;E323)</f>
        <v>0</v>
      </c>
      <c r="I323" t="s">
        <v>2</v>
      </c>
      <c r="X323" t="s">
        <v>17</v>
      </c>
      <c r="Y323" t="s">
        <v>18</v>
      </c>
    </row>
    <row r="324" spans="1:25" x14ac:dyDescent="0.25">
      <c r="A324" t="s">
        <v>5251</v>
      </c>
      <c r="B324" t="s">
        <v>5259</v>
      </c>
      <c r="C324" t="s">
        <v>520</v>
      </c>
      <c r="D324">
        <v>255</v>
      </c>
      <c r="H324">
        <f t="shared" si="5"/>
        <v>0</v>
      </c>
      <c r="I324" t="s">
        <v>2</v>
      </c>
      <c r="X324" t="s">
        <v>17</v>
      </c>
      <c r="Y324" t="s">
        <v>18</v>
      </c>
    </row>
    <row r="325" spans="1:25" x14ac:dyDescent="0.25">
      <c r="A325" t="s">
        <v>5251</v>
      </c>
      <c r="B325" t="s">
        <v>5259</v>
      </c>
      <c r="C325" t="s">
        <v>521</v>
      </c>
      <c r="D325">
        <v>1</v>
      </c>
      <c r="H325">
        <f t="shared" si="5"/>
        <v>0</v>
      </c>
      <c r="I325" t="s">
        <v>2</v>
      </c>
      <c r="X325" t="s">
        <v>17</v>
      </c>
      <c r="Y325" t="s">
        <v>18</v>
      </c>
    </row>
    <row r="326" spans="1:25" x14ac:dyDescent="0.25">
      <c r="A326" t="s">
        <v>5251</v>
      </c>
      <c r="B326" t="s">
        <v>5259</v>
      </c>
      <c r="C326" t="s">
        <v>522</v>
      </c>
      <c r="D326">
        <v>-2</v>
      </c>
      <c r="H326">
        <f t="shared" si="5"/>
        <v>0</v>
      </c>
      <c r="I326" t="s">
        <v>2</v>
      </c>
      <c r="X326" t="s">
        <v>17</v>
      </c>
      <c r="Y326" t="s">
        <v>18</v>
      </c>
    </row>
    <row r="327" spans="1:25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H327" t="str">
        <f t="shared" si="5"/>
        <v>If set to 1, the gap will update dynamically based on which weapon is currently equipped</v>
      </c>
      <c r="I327" t="s">
        <v>2</v>
      </c>
      <c r="X327" t="s">
        <v>17</v>
      </c>
      <c r="Y327" t="s">
        <v>18</v>
      </c>
    </row>
    <row r="328" spans="1:25" x14ac:dyDescent="0.25">
      <c r="A328" t="s">
        <v>5251</v>
      </c>
      <c r="B328" t="s">
        <v>5259</v>
      </c>
      <c r="C328" t="s">
        <v>525</v>
      </c>
      <c r="D328">
        <v>1</v>
      </c>
      <c r="H328">
        <f t="shared" si="5"/>
        <v>0</v>
      </c>
      <c r="I328" t="s">
        <v>2</v>
      </c>
      <c r="X328" t="s">
        <v>17</v>
      </c>
      <c r="Y328" t="s">
        <v>18</v>
      </c>
    </row>
    <row r="329" spans="1:25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H329" t="str">
        <f t="shared" si="5"/>
        <v>0 = DEFAULT, 1 = DEFAULT STATIC, 2 = ACCURATE SPLIT (accurate recoil/spread feedback with a fixed inner part), 3 = ACCURATE DYN</v>
      </c>
      <c r="I329" t="s">
        <v>2</v>
      </c>
      <c r="X329" t="s">
        <v>17</v>
      </c>
      <c r="Y329" t="s">
        <v>18</v>
      </c>
    </row>
    <row r="330" spans="1:25" x14ac:dyDescent="0.25">
      <c r="A330" t="s">
        <v>5251</v>
      </c>
      <c r="B330" t="s">
        <v>5259</v>
      </c>
      <c r="C330" t="s">
        <v>528</v>
      </c>
      <c r="D330">
        <v>1</v>
      </c>
      <c r="H330">
        <f t="shared" si="5"/>
        <v>0</v>
      </c>
      <c r="I330" t="s">
        <v>2</v>
      </c>
      <c r="X330" t="s">
        <v>17</v>
      </c>
      <c r="Y330" t="s">
        <v>18</v>
      </c>
    </row>
    <row r="331" spans="1:25" x14ac:dyDescent="0.25">
      <c r="A331" t="s">
        <v>5251</v>
      </c>
      <c r="B331" t="s">
        <v>5259</v>
      </c>
      <c r="C331" t="s">
        <v>529</v>
      </c>
      <c r="D331">
        <v>1</v>
      </c>
      <c r="H331">
        <f t="shared" si="5"/>
        <v>0</v>
      </c>
      <c r="I331" t="s">
        <v>2</v>
      </c>
      <c r="X331" t="s">
        <v>17</v>
      </c>
      <c r="Y331" t="s">
        <v>18</v>
      </c>
    </row>
    <row r="332" spans="1:25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  <c r="H332" t="str">
        <f t="shared" si="5"/>
        <v>cl_cs_dump_econ_item_stringtable</v>
      </c>
    </row>
    <row r="333" spans="1:25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  <c r="H333" t="str">
        <f t="shared" si="5"/>
        <v>Usage:  cl_csm_server_status</v>
      </c>
    </row>
    <row r="334" spans="1:25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  <c r="H334" t="str">
        <f t="shared" si="5"/>
        <v>Usage:    cl_csm_status</v>
      </c>
    </row>
    <row r="335" spans="1:25" x14ac:dyDescent="0.25">
      <c r="A335" t="s">
        <v>5251</v>
      </c>
      <c r="B335" t="s">
        <v>5259</v>
      </c>
      <c r="C335" t="s">
        <v>533</v>
      </c>
      <c r="D335">
        <v>0</v>
      </c>
      <c r="H335">
        <f t="shared" si="5"/>
        <v>0</v>
      </c>
      <c r="L335" t="s">
        <v>5</v>
      </c>
      <c r="X335" t="s">
        <v>17</v>
      </c>
    </row>
    <row r="336" spans="1:25" x14ac:dyDescent="0.25">
      <c r="A336" t="s">
        <v>5251</v>
      </c>
      <c r="B336" t="s">
        <v>5259</v>
      </c>
      <c r="C336" t="s">
        <v>534</v>
      </c>
      <c r="D336">
        <v>700</v>
      </c>
      <c r="H336">
        <f t="shared" si="5"/>
        <v>0</v>
      </c>
      <c r="L336" t="s">
        <v>5</v>
      </c>
      <c r="X336" t="s">
        <v>17</v>
      </c>
    </row>
    <row r="337" spans="1:24" x14ac:dyDescent="0.25">
      <c r="A337" t="s">
        <v>5251</v>
      </c>
      <c r="B337" t="s">
        <v>5259</v>
      </c>
      <c r="C337" t="s">
        <v>535</v>
      </c>
      <c r="D337">
        <v>0</v>
      </c>
      <c r="H337">
        <f t="shared" si="5"/>
        <v>0</v>
      </c>
      <c r="L337" t="s">
        <v>5</v>
      </c>
      <c r="X337" t="s">
        <v>17</v>
      </c>
    </row>
    <row r="338" spans="1:24" x14ac:dyDescent="0.25">
      <c r="A338" t="s">
        <v>5251</v>
      </c>
      <c r="B338" t="s">
        <v>5259</v>
      </c>
      <c r="C338" t="s">
        <v>536</v>
      </c>
      <c r="D338">
        <v>0</v>
      </c>
      <c r="H338">
        <f t="shared" si="5"/>
        <v>0</v>
      </c>
      <c r="L338" t="s">
        <v>5</v>
      </c>
      <c r="X338" t="s">
        <v>17</v>
      </c>
    </row>
    <row r="339" spans="1:24" x14ac:dyDescent="0.25">
      <c r="A339" t="s">
        <v>5251</v>
      </c>
      <c r="B339" t="s">
        <v>5259</v>
      </c>
      <c r="C339" t="s">
        <v>537</v>
      </c>
      <c r="D339">
        <v>0</v>
      </c>
      <c r="H339">
        <f t="shared" si="5"/>
        <v>0</v>
      </c>
    </row>
    <row r="340" spans="1:24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H340" t="str">
        <f t="shared" si="5"/>
        <v>Turn on rumble debugging spew</v>
      </c>
      <c r="I340" t="s">
        <v>2</v>
      </c>
      <c r="X340" t="s">
        <v>17</v>
      </c>
    </row>
    <row r="341" spans="1:24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  <c r="H341" t="str">
        <f t="shared" si="5"/>
        <v>Key to decrypt encrypted GOTV messages</v>
      </c>
    </row>
    <row r="342" spans="1:24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  <c r="H342" t="str">
        <f t="shared" si="5"/>
        <v>Key to decrypt public encrypted GOTV messages</v>
      </c>
    </row>
    <row r="343" spans="1:24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H343" t="str">
        <f t="shared" si="5"/>
        <v>force with which to avoid players ( in units, percentage of the width of the detail sprite )</v>
      </c>
      <c r="I343" t="s">
        <v>2</v>
      </c>
      <c r="X343" t="s">
        <v>17</v>
      </c>
    </row>
    <row r="344" spans="1:24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H344" t="str">
        <f t="shared" si="5"/>
        <v>radius around detail sprite to avoid players</v>
      </c>
      <c r="I344" t="s">
        <v>2</v>
      </c>
      <c r="X344" t="s">
        <v>17</v>
      </c>
    </row>
    <row r="345" spans="1:24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H345" t="str">
        <f t="shared" si="5"/>
        <v>how fast to recover position after avoiding players</v>
      </c>
      <c r="I345" t="s">
        <v>2</v>
      </c>
      <c r="X345" t="s">
        <v>17</v>
      </c>
    </row>
    <row r="346" spans="1:24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H346" t="str">
        <f t="shared" si="5"/>
        <v>Amplitude of the detail prop sway</v>
      </c>
      <c r="I346" t="s">
        <v>2</v>
      </c>
      <c r="X346" t="s">
        <v>17</v>
      </c>
    </row>
    <row r="347" spans="1:24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H347" t="str">
        <f t="shared" si="5"/>
        <v>extra details to create</v>
      </c>
      <c r="L347" t="s">
        <v>5</v>
      </c>
      <c r="X347" t="s">
        <v>17</v>
      </c>
    </row>
    <row r="348" spans="1:24" x14ac:dyDescent="0.25">
      <c r="A348" t="s">
        <v>5251</v>
      </c>
      <c r="B348" t="s">
        <v>5259</v>
      </c>
      <c r="C348" t="s">
        <v>554</v>
      </c>
      <c r="D348">
        <v>0</v>
      </c>
      <c r="H348">
        <f t="shared" si="5"/>
        <v>0</v>
      </c>
      <c r="L348" t="s">
        <v>5</v>
      </c>
      <c r="X348" t="s">
        <v>17</v>
      </c>
    </row>
    <row r="349" spans="1:24" x14ac:dyDescent="0.25">
      <c r="A349" t="s">
        <v>5251</v>
      </c>
      <c r="B349" t="s">
        <v>5259</v>
      </c>
      <c r="C349" t="s">
        <v>555</v>
      </c>
      <c r="D349">
        <v>0</v>
      </c>
      <c r="H349">
        <f t="shared" si="5"/>
        <v>0</v>
      </c>
      <c r="I349" t="s">
        <v>2</v>
      </c>
      <c r="X349" t="s">
        <v>17</v>
      </c>
    </row>
    <row r="350" spans="1:24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H350" t="str">
        <f t="shared" si="5"/>
        <v>Turn on/off freezecam on client</v>
      </c>
      <c r="I350" t="s">
        <v>2</v>
      </c>
      <c r="X350" t="s">
        <v>17</v>
      </c>
    </row>
    <row r="351" spans="1:24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H351" t="str">
        <f t="shared" si="5"/>
        <v>Disable HTML motds.</v>
      </c>
      <c r="I351" t="s">
        <v>2</v>
      </c>
      <c r="X351" t="s">
        <v>17</v>
      </c>
    </row>
    <row r="352" spans="1:24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H352" t="str">
        <f t="shared" si="5"/>
        <v xml:space="preserve">Player will automatically receive a random weapon on spawn in deathmatch if this is set to 1 (otherwise, they will receive the </v>
      </c>
      <c r="I352" t="s">
        <v>2</v>
      </c>
      <c r="X352" t="s">
        <v>17</v>
      </c>
    </row>
    <row r="353" spans="1:24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  <c r="H353" t="str">
        <f t="shared" si="5"/>
        <v>Determines whether downloads of external resources are allowed during demo playback (0:no,1:workshop,2:all)</v>
      </c>
    </row>
    <row r="354" spans="1:24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H354" t="str">
        <f t="shared" si="5"/>
        <v>Determines which files can be downloaded from the server (all, none, nosounds)</v>
      </c>
      <c r="I354" t="s">
        <v>2</v>
      </c>
    </row>
    <row r="355" spans="1:24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H355" t="str">
        <f t="shared" si="5"/>
        <v>For drawing only the crosshair and death notices (used for moviemaking)</v>
      </c>
      <c r="X355" t="s">
        <v>17</v>
      </c>
    </row>
    <row r="356" spans="1:24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H356" t="str">
        <f t="shared" si="5"/>
        <v>Enable the rendering of the hud</v>
      </c>
      <c r="L356" t="s">
        <v>5</v>
      </c>
      <c r="X356" t="s">
        <v>17</v>
      </c>
    </row>
    <row r="357" spans="1:24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H357" t="str">
        <f t="shared" si="5"/>
        <v>0: default; 1: draw deathnotices even if hud disabled; -1: force no deathnotices</v>
      </c>
      <c r="X357" t="s">
        <v>17</v>
      </c>
    </row>
    <row r="358" spans="1:24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H358" t="str">
        <f t="shared" si="5"/>
        <v>0: default; 1: draw radar even if hud disabled; -1: force no radar</v>
      </c>
      <c r="X358" t="s">
        <v>17</v>
      </c>
    </row>
    <row r="359" spans="1:24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H359" t="str">
        <f t="shared" si="5"/>
        <v>0: default; 1: draw teamid even if hud disabled; -1: force no teamid</v>
      </c>
      <c r="X359" t="s">
        <v>17</v>
      </c>
    </row>
    <row r="360" spans="1:24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H360" t="str">
        <f t="shared" si="5"/>
        <v>1: default; 0: disables vote UI for spectators</v>
      </c>
      <c r="X360" t="s">
        <v>17</v>
      </c>
    </row>
    <row r="361" spans="1:24" x14ac:dyDescent="0.25">
      <c r="A361" t="s">
        <v>5251</v>
      </c>
      <c r="B361" t="s">
        <v>5259</v>
      </c>
      <c r="C361" t="s">
        <v>578</v>
      </c>
      <c r="D361">
        <v>-1</v>
      </c>
      <c r="H361">
        <f t="shared" si="5"/>
        <v>0</v>
      </c>
      <c r="L361" t="s">
        <v>5</v>
      </c>
      <c r="X361" t="s">
        <v>17</v>
      </c>
    </row>
    <row r="362" spans="1:24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H362" t="str">
        <f t="shared" si="5"/>
        <v>Draw a particular material over the frame</v>
      </c>
      <c r="L362" t="s">
        <v>5</v>
      </c>
      <c r="X362" t="s">
        <v>17</v>
      </c>
    </row>
    <row r="363" spans="1:24" x14ac:dyDescent="0.25">
      <c r="A363" t="s">
        <v>5251</v>
      </c>
      <c r="B363" t="s">
        <v>5259</v>
      </c>
      <c r="C363" t="s">
        <v>581</v>
      </c>
      <c r="D363">
        <v>0</v>
      </c>
      <c r="H363">
        <f t="shared" si="5"/>
        <v>0</v>
      </c>
      <c r="L363" t="s">
        <v>5</v>
      </c>
      <c r="X363" t="s">
        <v>17</v>
      </c>
    </row>
    <row r="364" spans="1:24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  <c r="H364" t="str">
        <f t="shared" si="5"/>
        <v>dump particle profiling info to particle_profile.csv</v>
      </c>
    </row>
    <row r="365" spans="1:24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  <c r="H365" t="str">
        <f t="shared" si="5"/>
        <v>Dumps info about a player</v>
      </c>
    </row>
    <row r="366" spans="1:24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  <c r="H366" t="str">
        <f t="shared" si="5"/>
        <v>Dump split screen workarounds.</v>
      </c>
    </row>
    <row r="367" spans="1:24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H367" t="str">
        <f t="shared" si="5"/>
        <v>Automatically switch to spectate mode after clicking the 'Play Again' button in end of match screen</v>
      </c>
      <c r="I367" t="s">
        <v>2</v>
      </c>
      <c r="X367" t="s">
        <v>17</v>
      </c>
    </row>
    <row r="368" spans="1:24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  <c r="H368" t="str">
        <f t="shared" si="5"/>
        <v>Displays the client's absbox for the entity under the crosshair.</v>
      </c>
    </row>
    <row r="369" spans="1:25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  <c r="H369" t="str">
        <f t="shared" si="5"/>
        <v>Displays the client's bounding box for the entity under the crosshair.</v>
      </c>
    </row>
    <row r="370" spans="1:25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  <c r="H370" t="str">
        <f t="shared" si="5"/>
        <v>Displays the client's render box for the entity under the crosshair.</v>
      </c>
    </row>
    <row r="371" spans="1:25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H371" t="str">
        <f t="shared" si="5"/>
        <v>For debugging, draw entity states to console</v>
      </c>
      <c r="L371" t="s">
        <v>5</v>
      </c>
    </row>
    <row r="372" spans="1:25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H372" t="str">
        <f t="shared" si="5"/>
        <v>Enable/disable extrapolation if interpolation history runs out.</v>
      </c>
      <c r="L372" t="s">
        <v>5</v>
      </c>
      <c r="X372" t="s">
        <v>17</v>
      </c>
    </row>
    <row r="373" spans="1:25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H373" t="str">
        <f t="shared" si="5"/>
        <v>Set how many seconds the client will extrapolate entities for.</v>
      </c>
      <c r="L373" t="s">
        <v>5</v>
      </c>
      <c r="X373" t="s">
        <v>17</v>
      </c>
    </row>
    <row r="374" spans="1:25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H374" t="str">
        <f t="shared" si="5"/>
        <v>whether to use new detail sprite system</v>
      </c>
      <c r="L374" t="s">
        <v>5</v>
      </c>
      <c r="X374" t="s">
        <v>17</v>
      </c>
    </row>
    <row r="375" spans="1:25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  <c r="H375" t="str">
        <f t="shared" si="5"/>
        <v>Find and list all client entities with classnames that contain the specified substring. Format: cl_find_ent &lt;substring&gt;</v>
      </c>
    </row>
    <row r="376" spans="1:25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  <c r="H376" t="str">
        <f t="shared" si="5"/>
        <v>Display data for clientside entity matching specified index. Format: cl_find_ent_index &lt;index&gt;</v>
      </c>
    </row>
    <row r="377" spans="1:25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H377" t="str">
        <f t="shared" si="5"/>
        <v>For crosshair style 1: How big to make the gap between the pips in the fixed crosshair</v>
      </c>
      <c r="I377" t="s">
        <v>2</v>
      </c>
      <c r="X377" t="s">
        <v>17</v>
      </c>
      <c r="Y377" t="s">
        <v>18</v>
      </c>
    </row>
    <row r="378" spans="1:25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H378" t="str">
        <f t="shared" si="5"/>
        <v>For debugging. Force the engine to flush an entity packet.</v>
      </c>
      <c r="L378" t="s">
        <v>5</v>
      </c>
    </row>
    <row r="379" spans="1:25" x14ac:dyDescent="0.25">
      <c r="A379" t="s">
        <v>5251</v>
      </c>
      <c r="B379" t="s">
        <v>5259</v>
      </c>
      <c r="C379" t="s">
        <v>610</v>
      </c>
      <c r="D379">
        <v>1</v>
      </c>
      <c r="H379">
        <f t="shared" si="5"/>
        <v>0</v>
      </c>
      <c r="X379" t="s">
        <v>17</v>
      </c>
    </row>
    <row r="380" spans="1:25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H380" t="str">
        <f t="shared" si="5"/>
        <v>Whether we should force preloading.</v>
      </c>
      <c r="I380" t="s">
        <v>2</v>
      </c>
    </row>
    <row r="381" spans="1:25" x14ac:dyDescent="0.25">
      <c r="A381" t="s">
        <v>5251</v>
      </c>
      <c r="B381" t="s">
        <v>5259</v>
      </c>
      <c r="C381" t="s">
        <v>613</v>
      </c>
      <c r="D381">
        <v>450</v>
      </c>
      <c r="H381">
        <f t="shared" si="5"/>
        <v>0</v>
      </c>
      <c r="L381" t="s">
        <v>5</v>
      </c>
      <c r="X381" t="s">
        <v>17</v>
      </c>
    </row>
    <row r="382" spans="1:25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H382" t="str">
        <f t="shared" si="5"/>
        <v>Happy holidays from the CS:GO team and Valve!</v>
      </c>
      <c r="X382" t="s">
        <v>17</v>
      </c>
    </row>
    <row r="383" spans="1:25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H383" t="str">
        <f t="shared" si="5"/>
        <v>Turn on/off freezecam's kill panel dynamic Y movement</v>
      </c>
      <c r="I383" t="s">
        <v>2</v>
      </c>
      <c r="X383" t="s">
        <v>17</v>
      </c>
    </row>
    <row r="384" spans="1:25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  <c r="H384" t="str">
        <f t="shared" si="5"/>
        <v>Forces the server to send a full update packet</v>
      </c>
    </row>
    <row r="385" spans="1:24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  <c r="H385" t="str">
        <f t="shared" si="5"/>
        <v>Display the values of the convars for the current game_mode.</v>
      </c>
    </row>
    <row r="386" spans="1:24" x14ac:dyDescent="0.25">
      <c r="A386" t="s">
        <v>5251</v>
      </c>
      <c r="B386" t="s">
        <v>5259</v>
      </c>
      <c r="C386" t="s">
        <v>622</v>
      </c>
      <c r="D386">
        <v>0</v>
      </c>
      <c r="H386">
        <f t="shared" si="5"/>
        <v>0</v>
      </c>
      <c r="I386" t="s">
        <v>2</v>
      </c>
    </row>
    <row r="387" spans="1:24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H387" t="str">
        <f t="shared" ref="H387:H450" si="6">IF(F387="",E387, F387 &amp; " - Original Helptext: " &amp;E387)</f>
        <v>Show trajectory of a grenade when pin is pulled.</v>
      </c>
      <c r="L387" t="s">
        <v>5</v>
      </c>
      <c r="X387" t="s">
        <v>17</v>
      </c>
    </row>
    <row r="388" spans="1:24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H388" t="str">
        <f t="shared" si="6"/>
        <v>Hide avatar images for other players.  	0 - Off. 	1 - Block All 	2 - Block all but friends</v>
      </c>
      <c r="I388" t="s">
        <v>2</v>
      </c>
      <c r="X388" t="s">
        <v>17</v>
      </c>
    </row>
    <row r="389" spans="1:24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  <c r="H389" t="str">
        <f t="shared" si="6"/>
        <v>If set to 1, server IPs will be hidden in the console (except when you type 'status')</v>
      </c>
    </row>
    <row r="390" spans="1:24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H390" t="str">
        <f t="shared" si="6"/>
        <v>Allows sending HTTP log from client main menu.</v>
      </c>
      <c r="U390" t="s">
        <v>14</v>
      </c>
      <c r="W390" t="s">
        <v>16</v>
      </c>
      <c r="X390" t="s">
        <v>17</v>
      </c>
    </row>
    <row r="391" spans="1:24" x14ac:dyDescent="0.25">
      <c r="A391" t="s">
        <v>5251</v>
      </c>
      <c r="B391" t="s">
        <v>5259</v>
      </c>
      <c r="C391" t="s">
        <v>630</v>
      </c>
      <c r="D391">
        <v>0</v>
      </c>
      <c r="H391">
        <f t="shared" si="6"/>
        <v>0</v>
      </c>
      <c r="I391" t="s">
        <v>2</v>
      </c>
      <c r="X391" t="s">
        <v>17</v>
      </c>
    </row>
    <row r="392" spans="1:24" x14ac:dyDescent="0.25">
      <c r="A392" t="s">
        <v>5251</v>
      </c>
      <c r="B392" t="s">
        <v>5259</v>
      </c>
      <c r="C392" t="s">
        <v>631</v>
      </c>
      <c r="D392">
        <v>1</v>
      </c>
      <c r="H392">
        <f t="shared" si="6"/>
        <v>0</v>
      </c>
      <c r="I392" t="s">
        <v>2</v>
      </c>
      <c r="X392" t="s">
        <v>17</v>
      </c>
    </row>
    <row r="393" spans="1:24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H393" t="str">
        <f t="shared" si="6"/>
        <v>0 = default, 1 = light blue, 2 = orange, 3 = green, 4 = purple, 5 = white.</v>
      </c>
      <c r="I393" t="s">
        <v>2</v>
      </c>
      <c r="X393" t="s">
        <v>17</v>
      </c>
    </row>
    <row r="394" spans="1:24" x14ac:dyDescent="0.25">
      <c r="A394" t="s">
        <v>5251</v>
      </c>
      <c r="B394" t="s">
        <v>5259</v>
      </c>
      <c r="C394" t="s">
        <v>634</v>
      </c>
      <c r="D394">
        <v>0</v>
      </c>
      <c r="H394">
        <f t="shared" si="6"/>
        <v>0</v>
      </c>
      <c r="I394" t="s">
        <v>2</v>
      </c>
      <c r="X394" t="s">
        <v>17</v>
      </c>
    </row>
    <row r="395" spans="1:24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H395" t="str">
        <f t="shared" si="6"/>
        <v>0 = default (top), 1 = bottom</v>
      </c>
      <c r="I395" t="s">
        <v>2</v>
      </c>
      <c r="X395" t="s">
        <v>17</v>
      </c>
    </row>
    <row r="396" spans="1:24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H396" t="str">
        <f t="shared" si="6"/>
        <v>0 = show player avatars (default), 1 = just show count number (no avatars)</v>
      </c>
      <c r="I396" t="s">
        <v>2</v>
      </c>
      <c r="X396" t="s">
        <v>17</v>
      </c>
    </row>
    <row r="397" spans="1:24" x14ac:dyDescent="0.25">
      <c r="A397" t="s">
        <v>5251</v>
      </c>
      <c r="B397" t="s">
        <v>5259</v>
      </c>
      <c r="C397" t="s">
        <v>639</v>
      </c>
      <c r="D397">
        <v>1</v>
      </c>
      <c r="H397">
        <f t="shared" si="6"/>
        <v>0</v>
      </c>
      <c r="I397" t="s">
        <v>2</v>
      </c>
      <c r="X397" t="s">
        <v>17</v>
      </c>
    </row>
    <row r="398" spans="1:24" x14ac:dyDescent="0.25">
      <c r="A398" t="s">
        <v>5251</v>
      </c>
      <c r="B398" t="s">
        <v>5259</v>
      </c>
      <c r="C398" t="s">
        <v>640</v>
      </c>
      <c r="D398">
        <v>0</v>
      </c>
      <c r="H398">
        <f t="shared" si="6"/>
        <v>0</v>
      </c>
      <c r="I398" t="s">
        <v>2</v>
      </c>
      <c r="X398" t="s">
        <v>17</v>
      </c>
    </row>
    <row r="399" spans="1:24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H399" t="str">
        <f t="shared" si="6"/>
        <v>Force client to ignore packets (for debugging).</v>
      </c>
      <c r="L399" t="s">
        <v>5</v>
      </c>
    </row>
    <row r="400" spans="1:24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H400" t="str">
        <f t="shared" si="6"/>
        <v>Sets the interpolation amount (bounded on low side by server interp ratio settings).</v>
      </c>
      <c r="M400" t="s">
        <v>6</v>
      </c>
      <c r="X400" t="s">
        <v>17</v>
      </c>
    </row>
    <row r="401" spans="1:24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H401" t="str">
        <f t="shared" si="6"/>
        <v>Sets the interpolation amount (final amount is cl_interp_ratio / cl_updaterate).</v>
      </c>
      <c r="M401" t="s">
        <v>6</v>
      </c>
      <c r="X401" t="s">
        <v>17</v>
      </c>
    </row>
    <row r="402" spans="1:24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  <c r="H402" t="str">
        <f t="shared" si="6"/>
        <v>Enables or disables interpolation on listen servers or during demo playback</v>
      </c>
    </row>
    <row r="403" spans="1:24" x14ac:dyDescent="0.25">
      <c r="A403" t="s">
        <v>5251</v>
      </c>
      <c r="B403" t="s">
        <v>5259</v>
      </c>
      <c r="C403" t="s">
        <v>649</v>
      </c>
      <c r="D403">
        <v>0</v>
      </c>
      <c r="H403">
        <f t="shared" si="6"/>
        <v>0</v>
      </c>
      <c r="X403" t="s">
        <v>17</v>
      </c>
    </row>
    <row r="404" spans="1:24" x14ac:dyDescent="0.25">
      <c r="A404" t="s">
        <v>5251</v>
      </c>
      <c r="B404" t="s">
        <v>5259</v>
      </c>
      <c r="C404" t="s">
        <v>650</v>
      </c>
      <c r="D404">
        <v>0</v>
      </c>
      <c r="H404">
        <f t="shared" si="6"/>
        <v>0</v>
      </c>
      <c r="I404" t="s">
        <v>2</v>
      </c>
      <c r="X404" t="s">
        <v>17</v>
      </c>
    </row>
    <row r="405" spans="1:24" x14ac:dyDescent="0.25">
      <c r="A405" t="s">
        <v>5251</v>
      </c>
      <c r="B405" t="s">
        <v>5259</v>
      </c>
      <c r="C405" t="s">
        <v>651</v>
      </c>
      <c r="D405">
        <v>0</v>
      </c>
      <c r="H405">
        <f t="shared" si="6"/>
        <v>0</v>
      </c>
      <c r="I405" t="s">
        <v>2</v>
      </c>
      <c r="X405" t="s">
        <v>17</v>
      </c>
    </row>
    <row r="406" spans="1:24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H406" t="str">
        <f t="shared" si="6"/>
        <v>If turned on, will ignore in-game invites from recent teammates or other non-friends</v>
      </c>
      <c r="I406" t="s">
        <v>2</v>
      </c>
      <c r="X406" t="s">
        <v>17</v>
      </c>
    </row>
    <row r="407" spans="1:24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H407" t="str">
        <f t="shared" si="6"/>
        <v>If turned on, will ignore all invites when user is playing a match</v>
      </c>
      <c r="I407" t="s">
        <v>2</v>
      </c>
      <c r="X407" t="s">
        <v>17</v>
      </c>
    </row>
    <row r="408" spans="1:24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H408" t="str">
        <f t="shared" si="6"/>
        <v>2: use render-targets, fallback to cache and disk; 1: no render targets, but use cache and fallback to disk; 0: disk assets onl</v>
      </c>
      <c r="I408" t="s">
        <v>2</v>
      </c>
      <c r="X408" t="s">
        <v>17</v>
      </c>
    </row>
    <row r="409" spans="1:24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H409" t="str">
        <f t="shared" si="6"/>
        <v>Display physics-based 'jiggle bone' debugging information</v>
      </c>
      <c r="L409" t="s">
        <v>5</v>
      </c>
      <c r="X409" t="s">
        <v>17</v>
      </c>
    </row>
    <row r="410" spans="1:24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H410" t="str">
        <f t="shared" si="6"/>
        <v>Display physics-based 'jiggle bone' debugging information</v>
      </c>
      <c r="L410" t="s">
        <v>5</v>
      </c>
      <c r="X410" t="s">
        <v>17</v>
      </c>
    </row>
    <row r="411" spans="1:24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H411" t="str">
        <f t="shared" si="6"/>
        <v>Display physics-based 'jiggle bone' debugging information</v>
      </c>
      <c r="L411" t="s">
        <v>5</v>
      </c>
      <c r="X411" t="s">
        <v>17</v>
      </c>
    </row>
    <row r="412" spans="1:24" x14ac:dyDescent="0.25">
      <c r="A412" t="s">
        <v>5251</v>
      </c>
      <c r="B412" t="s">
        <v>5259</v>
      </c>
      <c r="C412" t="s">
        <v>662</v>
      </c>
      <c r="D412">
        <v>0</v>
      </c>
      <c r="H412">
        <f t="shared" si="6"/>
        <v>0</v>
      </c>
      <c r="L412" t="s">
        <v>5</v>
      </c>
      <c r="X412" t="s">
        <v>17</v>
      </c>
    </row>
    <row r="413" spans="1:24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H413" t="str">
        <f t="shared" si="6"/>
        <v>Advertise joinable game in progress to Steam friends, otherwise need a Steam invite (2: all servers, 1: official servers, 0: no</v>
      </c>
      <c r="I413" t="s">
        <v>2</v>
      </c>
      <c r="X413" t="s">
        <v>17</v>
      </c>
    </row>
    <row r="414" spans="1:24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H414" t="str">
        <f t="shared" si="6"/>
        <v>Perform server side lag compensation of weapon firing events.</v>
      </c>
      <c r="M414" t="s">
        <v>6</v>
      </c>
      <c r="X414" t="s">
        <v>17</v>
      </c>
    </row>
    <row r="415" spans="1:24" x14ac:dyDescent="0.25">
      <c r="A415" t="s">
        <v>5251</v>
      </c>
      <c r="B415" t="s">
        <v>5259</v>
      </c>
      <c r="C415" t="s">
        <v>667</v>
      </c>
      <c r="D415">
        <v>0</v>
      </c>
      <c r="H415">
        <f t="shared" si="6"/>
        <v>0</v>
      </c>
      <c r="L415" t="s">
        <v>5</v>
      </c>
      <c r="X415" t="s">
        <v>17</v>
      </c>
    </row>
    <row r="416" spans="1:24" x14ac:dyDescent="0.25">
      <c r="A416" t="s">
        <v>5251</v>
      </c>
      <c r="B416" t="s">
        <v>5259</v>
      </c>
      <c r="C416" t="s">
        <v>668</v>
      </c>
      <c r="D416">
        <v>0</v>
      </c>
      <c r="H416">
        <f t="shared" si="6"/>
        <v>0</v>
      </c>
      <c r="L416" t="s">
        <v>5</v>
      </c>
      <c r="X416" t="s">
        <v>17</v>
      </c>
    </row>
    <row r="417" spans="1:25" x14ac:dyDescent="0.25">
      <c r="A417" t="s">
        <v>5251</v>
      </c>
      <c r="B417" t="s">
        <v>5259</v>
      </c>
      <c r="C417" t="s">
        <v>669</v>
      </c>
      <c r="D417">
        <v>0</v>
      </c>
      <c r="H417">
        <f t="shared" si="6"/>
        <v>0</v>
      </c>
      <c r="L417" t="s">
        <v>5</v>
      </c>
      <c r="X417" t="s">
        <v>17</v>
      </c>
    </row>
    <row r="418" spans="1:25" x14ac:dyDescent="0.25">
      <c r="A418" t="s">
        <v>5251</v>
      </c>
      <c r="B418" t="s">
        <v>5259</v>
      </c>
      <c r="C418" t="s">
        <v>670</v>
      </c>
      <c r="D418">
        <v>0</v>
      </c>
      <c r="H418">
        <f t="shared" si="6"/>
        <v>0</v>
      </c>
      <c r="L418" t="s">
        <v>5</v>
      </c>
      <c r="X418" t="s">
        <v>17</v>
      </c>
    </row>
    <row r="419" spans="1:25" x14ac:dyDescent="0.25">
      <c r="A419" t="s">
        <v>5251</v>
      </c>
      <c r="B419" t="s">
        <v>5259</v>
      </c>
      <c r="C419" t="s">
        <v>671</v>
      </c>
      <c r="D419">
        <v>0</v>
      </c>
      <c r="H419">
        <f t="shared" si="6"/>
        <v>0</v>
      </c>
      <c r="X419" t="s">
        <v>17</v>
      </c>
    </row>
    <row r="420" spans="1:25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  <c r="H420" t="str">
        <f t="shared" si="6"/>
        <v>cl_matchstats_print_own_data RANGENAME</v>
      </c>
    </row>
    <row r="421" spans="1:25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H421" t="str">
        <f t="shared" si="6"/>
        <v>Max distance from the camera at which things will be rendered</v>
      </c>
      <c r="L421" t="s">
        <v>5</v>
      </c>
      <c r="X421" t="s">
        <v>17</v>
      </c>
    </row>
    <row r="422" spans="1:25" x14ac:dyDescent="0.25">
      <c r="A422" t="s">
        <v>5251</v>
      </c>
      <c r="B422" t="s">
        <v>5259</v>
      </c>
      <c r="C422" t="s">
        <v>676</v>
      </c>
      <c r="D422">
        <v>1</v>
      </c>
      <c r="H422">
        <f t="shared" si="6"/>
        <v>0</v>
      </c>
      <c r="I422" t="s">
        <v>2</v>
      </c>
      <c r="X422" t="s">
        <v>17</v>
      </c>
    </row>
    <row r="423" spans="1:25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  <c r="H423" t="str">
        <f t="shared" si="6"/>
        <v>Reloads the panel metaclasses for vgui screens.</v>
      </c>
    </row>
    <row r="424" spans="1:25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H424" t="str">
        <f t="shared" si="6"/>
        <v>Set to 1 to use mouse for look, 0 for keyboard look. Cannot be set while connected to a server.</v>
      </c>
      <c r="I424" t="s">
        <v>2</v>
      </c>
      <c r="X424" t="s">
        <v>17</v>
      </c>
      <c r="Y424" t="s">
        <v>18</v>
      </c>
    </row>
    <row r="425" spans="1:25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H425" t="str">
        <f t="shared" si="6"/>
        <v>Only allow communication from friends and matchmaking party members. Set to 1 to apply the in non-competitive game modes. Set t</v>
      </c>
      <c r="I425" t="s">
        <v>2</v>
      </c>
      <c r="X425" t="s">
        <v>17</v>
      </c>
    </row>
    <row r="426" spans="1:25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H426" t="str">
        <f t="shared" si="6"/>
        <v>Block all communication from players on the enemy team.</v>
      </c>
      <c r="I426" t="s">
        <v>2</v>
      </c>
      <c r="X426" t="s">
        <v>17</v>
      </c>
    </row>
    <row r="427" spans="1:25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H427" t="str">
        <f t="shared" si="6"/>
        <v>Enables interpolation between observer targets</v>
      </c>
      <c r="I427" t="s">
        <v>2</v>
      </c>
      <c r="X427" t="s">
        <v>17</v>
      </c>
    </row>
    <row r="428" spans="1:25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H428" t="str">
        <f t="shared" si="6"/>
        <v>Control the crosshair shown when observing a bot. 0: Show player crosshair. 1: Show player crosshair only when bot can be taken</v>
      </c>
      <c r="I428" t="s">
        <v>2</v>
      </c>
      <c r="X428" t="s">
        <v>17</v>
      </c>
    </row>
    <row r="429" spans="1:25" x14ac:dyDescent="0.25">
      <c r="A429" t="s">
        <v>5251</v>
      </c>
      <c r="B429" t="s">
        <v>5259</v>
      </c>
      <c r="C429" t="s">
        <v>689</v>
      </c>
      <c r="D429">
        <v>1</v>
      </c>
      <c r="H429">
        <f t="shared" si="6"/>
        <v>0</v>
      </c>
      <c r="I429" t="s">
        <v>2</v>
      </c>
      <c r="X429" t="s">
        <v>17</v>
      </c>
      <c r="Y429" t="s">
        <v>18</v>
      </c>
    </row>
    <row r="430" spans="1:25" x14ac:dyDescent="0.25">
      <c r="A430" t="s">
        <v>5251</v>
      </c>
      <c r="B430" t="s">
        <v>5259</v>
      </c>
      <c r="C430" t="s">
        <v>690</v>
      </c>
      <c r="D430">
        <v>0</v>
      </c>
      <c r="H430">
        <f t="shared" si="6"/>
        <v>0</v>
      </c>
      <c r="L430" t="s">
        <v>5</v>
      </c>
      <c r="R430" t="s">
        <v>11</v>
      </c>
      <c r="X430" t="s">
        <v>17</v>
      </c>
    </row>
    <row r="431" spans="1:25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  <c r="H431" t="str">
        <f t="shared" si="6"/>
        <v>Shows panel animation variables: &lt;panelname | blank for all panels&gt;.</v>
      </c>
    </row>
    <row r="432" spans="1:25" x14ac:dyDescent="0.25">
      <c r="A432" t="s">
        <v>5251</v>
      </c>
      <c r="B432" t="s">
        <v>5259</v>
      </c>
      <c r="C432" t="s">
        <v>693</v>
      </c>
      <c r="D432">
        <v>0</v>
      </c>
      <c r="H432">
        <f t="shared" si="6"/>
        <v>0</v>
      </c>
      <c r="L432" t="s">
        <v>5</v>
      </c>
      <c r="X432" t="s">
        <v>17</v>
      </c>
    </row>
    <row r="433" spans="1:24" x14ac:dyDescent="0.25">
      <c r="A433" t="s">
        <v>5251</v>
      </c>
      <c r="B433" t="s">
        <v>5258</v>
      </c>
      <c r="C433" t="s">
        <v>694</v>
      </c>
      <c r="D433" t="s">
        <v>25</v>
      </c>
      <c r="H433">
        <f t="shared" si="6"/>
        <v>0</v>
      </c>
    </row>
    <row r="434" spans="1:24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  <c r="H434" t="str">
        <f t="shared" si="6"/>
        <v>Dump all new particles, optional name substring.</v>
      </c>
    </row>
    <row r="435" spans="1:24" x14ac:dyDescent="0.25">
      <c r="A435" t="s">
        <v>5251</v>
      </c>
      <c r="B435" t="s">
        <v>5259</v>
      </c>
      <c r="C435" t="s">
        <v>697</v>
      </c>
      <c r="D435">
        <v>0</v>
      </c>
      <c r="H435">
        <f t="shared" si="6"/>
        <v>0</v>
      </c>
      <c r="L435" t="s">
        <v>5</v>
      </c>
      <c r="X435" t="s">
        <v>17</v>
      </c>
    </row>
    <row r="436" spans="1:24" x14ac:dyDescent="0.25">
      <c r="A436" t="s">
        <v>5251</v>
      </c>
      <c r="B436" t="s">
        <v>5259</v>
      </c>
      <c r="C436" t="s">
        <v>698</v>
      </c>
      <c r="D436">
        <v>0</v>
      </c>
      <c r="H436">
        <f t="shared" si="6"/>
        <v>0</v>
      </c>
      <c r="L436" t="s">
        <v>5</v>
      </c>
      <c r="X436" t="s">
        <v>17</v>
      </c>
    </row>
    <row r="437" spans="1:24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H437" t="str">
        <f t="shared" si="6"/>
        <v>Dump entity by prediction classname.</v>
      </c>
      <c r="L437" t="s">
        <v>5</v>
      </c>
      <c r="X437" t="s">
        <v>17</v>
      </c>
    </row>
    <row r="438" spans="1:24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H438" t="str">
        <f t="shared" si="6"/>
        <v>Dump info about this entity to screen.</v>
      </c>
      <c r="L438" t="s">
        <v>5</v>
      </c>
      <c r="X438" t="s">
        <v>17</v>
      </c>
    </row>
    <row r="439" spans="1:24" x14ac:dyDescent="0.25">
      <c r="A439" t="s">
        <v>5251</v>
      </c>
      <c r="B439" t="s">
        <v>5259</v>
      </c>
      <c r="C439" t="s">
        <v>703</v>
      </c>
      <c r="D439">
        <v>0</v>
      </c>
      <c r="H439">
        <f t="shared" si="6"/>
        <v>0</v>
      </c>
      <c r="L439" t="s">
        <v>5</v>
      </c>
      <c r="X439" t="s">
        <v>17</v>
      </c>
    </row>
    <row r="440" spans="1:24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H440" t="str">
        <f t="shared" si="6"/>
        <v>Sets the scale of time for client-side physics (ragdolls)</v>
      </c>
      <c r="L440" t="s">
        <v>5</v>
      </c>
      <c r="X440" t="s">
        <v>17</v>
      </c>
    </row>
    <row r="441" spans="1:24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H441" t="str">
        <f t="shared" si="6"/>
        <v>Distance from the crosshair over which the ping is completely invisible</v>
      </c>
      <c r="I441" t="s">
        <v>2</v>
      </c>
      <c r="X441" t="s">
        <v>17</v>
      </c>
    </row>
    <row r="442" spans="1:24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H442" t="str">
        <f t="shared" si="6"/>
        <v>Distance from the crosshair over which the ping fades</v>
      </c>
      <c r="I442" t="s">
        <v>2</v>
      </c>
      <c r="X442" t="s">
        <v>17</v>
      </c>
    </row>
    <row r="443" spans="1:24" x14ac:dyDescent="0.25">
      <c r="A443" t="s">
        <v>5251</v>
      </c>
      <c r="B443" t="s">
        <v>5259</v>
      </c>
      <c r="C443" t="s">
        <v>710</v>
      </c>
      <c r="D443">
        <v>89</v>
      </c>
      <c r="H443">
        <f t="shared" si="6"/>
        <v>0</v>
      </c>
      <c r="L443" t="s">
        <v>5</v>
      </c>
      <c r="X443" t="s">
        <v>17</v>
      </c>
    </row>
    <row r="444" spans="1:24" x14ac:dyDescent="0.25">
      <c r="A444" t="s">
        <v>5251</v>
      </c>
      <c r="B444" t="s">
        <v>5259</v>
      </c>
      <c r="C444" t="s">
        <v>711</v>
      </c>
      <c r="D444">
        <v>89</v>
      </c>
      <c r="H444">
        <f t="shared" si="6"/>
        <v>0</v>
      </c>
      <c r="L444" t="s">
        <v>5</v>
      </c>
      <c r="X444" t="s">
        <v>17</v>
      </c>
    </row>
    <row r="445" spans="1:24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H445" t="str">
        <f t="shared" si="6"/>
        <v>If 1, player pinging will make a sound, if 0, pings will be silent</v>
      </c>
      <c r="I445" t="s">
        <v>2</v>
      </c>
      <c r="X445" t="s">
        <v>17</v>
      </c>
    </row>
    <row r="446" spans="1:24" x14ac:dyDescent="0.25">
      <c r="A446" t="s">
        <v>5251</v>
      </c>
      <c r="B446" t="s">
        <v>5259</v>
      </c>
      <c r="C446" t="s">
        <v>714</v>
      </c>
      <c r="D446">
        <v>0</v>
      </c>
      <c r="H446">
        <f t="shared" si="6"/>
        <v>0</v>
      </c>
      <c r="L446" t="s">
        <v>5</v>
      </c>
      <c r="S446" t="s">
        <v>12</v>
      </c>
      <c r="X446" t="s">
        <v>17</v>
      </c>
    </row>
    <row r="447" spans="1:24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H447" t="str">
        <f t="shared" si="6"/>
        <v>Automatically apply graffiti when graffiti menu closes</v>
      </c>
      <c r="I447" t="s">
        <v>2</v>
      </c>
      <c r="X447" t="s">
        <v>17</v>
      </c>
    </row>
    <row r="448" spans="1:24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H448" t="str">
        <f t="shared" si="6"/>
        <v>Use new dissolve effect</v>
      </c>
      <c r="L448" t="s">
        <v>5</v>
      </c>
      <c r="X448" t="s">
        <v>17</v>
      </c>
    </row>
    <row r="449" spans="1:24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  <c r="H449" t="str">
        <f t="shared" si="6"/>
        <v>Show precache info (client).</v>
      </c>
    </row>
    <row r="450" spans="1:24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  <c r="H450" t="str">
        <f t="shared" si="6"/>
        <v>&lt;entindex&gt; &lt;fieldname&gt;:  Track changes to entity index entindex, for field fieldname.</v>
      </c>
    </row>
    <row r="451" spans="1:24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H451" t="str">
        <f t="shared" ref="H451:H514" si="7">IF(F451="",E451, F451 &amp; " - Original Helptext: " &amp;E451)</f>
        <v>Perform client side prediction.</v>
      </c>
      <c r="M451" t="s">
        <v>6</v>
      </c>
      <c r="X451" t="s">
        <v>17</v>
      </c>
    </row>
    <row r="452" spans="1:24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  <c r="H452" t="str">
        <f t="shared" si="7"/>
        <v>Describe datamap_t for entindex</v>
      </c>
    </row>
    <row r="453" spans="1:24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H453" t="str">
        <f t="shared" si="7"/>
        <v>Show which entities are predicting</v>
      </c>
      <c r="L453" t="s">
        <v>5</v>
      </c>
      <c r="X453" t="s">
        <v>17</v>
      </c>
    </row>
    <row r="454" spans="1:24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H454" t="str">
        <f t="shared" si="7"/>
        <v>Perform client side prediction of weapon effects.</v>
      </c>
      <c r="M454" t="s">
        <v>6</v>
      </c>
      <c r="X454" t="s">
        <v>17</v>
      </c>
    </row>
    <row r="455" spans="1:24" x14ac:dyDescent="0.25">
      <c r="A455" t="s">
        <v>5251</v>
      </c>
      <c r="B455" t="s">
        <v>5259</v>
      </c>
      <c r="C455" t="s">
        <v>731</v>
      </c>
      <c r="D455">
        <v>1</v>
      </c>
      <c r="H455">
        <f t="shared" si="7"/>
        <v>0</v>
      </c>
      <c r="I455" t="s">
        <v>2</v>
      </c>
      <c r="X455" t="s">
        <v>17</v>
      </c>
    </row>
    <row r="456" spans="1:24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  <c r="H456" t="str">
        <f t="shared" si="7"/>
        <v>cl_quest_events_print</v>
      </c>
    </row>
    <row r="457" spans="1:24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  <c r="H457" t="str">
        <f t="shared" si="7"/>
        <v>cl_quest_schedule_print</v>
      </c>
    </row>
    <row r="458" spans="1:24" x14ac:dyDescent="0.25">
      <c r="A458" t="s">
        <v>5251</v>
      </c>
      <c r="B458" t="s">
        <v>5259</v>
      </c>
      <c r="C458" t="s">
        <v>734</v>
      </c>
      <c r="D458">
        <v>1</v>
      </c>
      <c r="H458">
        <f t="shared" si="7"/>
        <v>0</v>
      </c>
      <c r="I458" t="s">
        <v>2</v>
      </c>
      <c r="X458" t="s">
        <v>17</v>
      </c>
    </row>
    <row r="459" spans="1:24" x14ac:dyDescent="0.25">
      <c r="A459" t="s">
        <v>5251</v>
      </c>
      <c r="B459" t="s">
        <v>5259</v>
      </c>
      <c r="C459" t="s">
        <v>735</v>
      </c>
      <c r="D459">
        <v>65</v>
      </c>
      <c r="H459">
        <f t="shared" si="7"/>
        <v>0</v>
      </c>
      <c r="I459" t="s">
        <v>2</v>
      </c>
      <c r="X459" t="s">
        <v>17</v>
      </c>
    </row>
    <row r="460" spans="1:24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H460" t="str">
        <f t="shared" si="7"/>
        <v>If set to 0, the radar is maximally used. Otherwise the player is always centered, even at map extents.</v>
      </c>
      <c r="I460" t="s">
        <v>2</v>
      </c>
      <c r="X460" t="s">
        <v>17</v>
      </c>
    </row>
    <row r="461" spans="1:24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H461" t="str">
        <f t="shared" si="7"/>
        <v>Sets the minimum icon scale. Valid values are 0.4 to 1.25.</v>
      </c>
      <c r="I461" t="s">
        <v>2</v>
      </c>
      <c r="X461" t="s">
        <v>17</v>
      </c>
    </row>
    <row r="462" spans="1:24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H462">
        <f t="shared" si="7"/>
        <v>1</v>
      </c>
      <c r="I462" t="s">
        <v>2</v>
      </c>
      <c r="X462" t="s">
        <v>17</v>
      </c>
    </row>
    <row r="463" spans="1:24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H463" t="str">
        <f t="shared" si="7"/>
        <v>Sets the radar scale. Valid values are 0.25 to 1.0.</v>
      </c>
      <c r="I463" t="s">
        <v>2</v>
      </c>
      <c r="X463" t="s">
        <v>17</v>
      </c>
    </row>
    <row r="464" spans="1:24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H464" t="str">
        <f t="shared" si="7"/>
        <v>If set, the radar will toggle to square when the scoreboard is visible.</v>
      </c>
      <c r="I464" t="s">
        <v>2</v>
      </c>
      <c r="X464" t="s">
        <v>17</v>
      </c>
    </row>
    <row r="465" spans="1:24" x14ac:dyDescent="0.25">
      <c r="A465" t="s">
        <v>5251</v>
      </c>
      <c r="B465" t="s">
        <v>5259</v>
      </c>
      <c r="C465" t="s">
        <v>745</v>
      </c>
      <c r="D465">
        <v>0</v>
      </c>
      <c r="H465">
        <f t="shared" si="7"/>
        <v>0</v>
      </c>
      <c r="X465" t="s">
        <v>17</v>
      </c>
    </row>
    <row r="466" spans="1:24" x14ac:dyDescent="0.25">
      <c r="A466" t="s">
        <v>5251</v>
      </c>
      <c r="B466" t="s">
        <v>5259</v>
      </c>
      <c r="C466" t="s">
        <v>746</v>
      </c>
      <c r="D466">
        <v>0</v>
      </c>
      <c r="H466">
        <f t="shared" si="7"/>
        <v>0</v>
      </c>
      <c r="I466" t="s">
        <v>2</v>
      </c>
      <c r="X466" t="s">
        <v>17</v>
      </c>
    </row>
    <row r="467" spans="1:24" x14ac:dyDescent="0.25">
      <c r="A467" t="s">
        <v>5251</v>
      </c>
      <c r="B467" t="s">
        <v>5259</v>
      </c>
      <c r="C467" t="s">
        <v>747</v>
      </c>
      <c r="D467">
        <v>0</v>
      </c>
      <c r="H467">
        <f t="shared" si="7"/>
        <v>0</v>
      </c>
      <c r="I467" t="s">
        <v>2</v>
      </c>
      <c r="X467" t="s">
        <v>17</v>
      </c>
    </row>
    <row r="468" spans="1:24" x14ac:dyDescent="0.25">
      <c r="A468" t="s">
        <v>5251</v>
      </c>
      <c r="B468" t="s">
        <v>5259</v>
      </c>
      <c r="C468" t="s">
        <v>748</v>
      </c>
      <c r="D468">
        <v>0</v>
      </c>
      <c r="H468">
        <f t="shared" si="7"/>
        <v>0</v>
      </c>
      <c r="I468" t="s">
        <v>2</v>
      </c>
      <c r="X468" t="s">
        <v>17</v>
      </c>
    </row>
    <row r="469" spans="1:24" x14ac:dyDescent="0.25">
      <c r="A469" t="s">
        <v>5251</v>
      </c>
      <c r="B469" t="s">
        <v>5259</v>
      </c>
      <c r="C469" t="s">
        <v>749</v>
      </c>
      <c r="D469">
        <v>0</v>
      </c>
      <c r="H469">
        <f t="shared" si="7"/>
        <v>0</v>
      </c>
      <c r="I469" t="s">
        <v>2</v>
      </c>
      <c r="X469" t="s">
        <v>17</v>
      </c>
    </row>
    <row r="470" spans="1:24" x14ac:dyDescent="0.25">
      <c r="A470" t="s">
        <v>5251</v>
      </c>
      <c r="B470" t="s">
        <v>5259</v>
      </c>
      <c r="C470" t="s">
        <v>750</v>
      </c>
      <c r="D470">
        <v>0</v>
      </c>
      <c r="H470">
        <f t="shared" si="7"/>
        <v>0</v>
      </c>
      <c r="I470" t="s">
        <v>2</v>
      </c>
      <c r="X470" t="s">
        <v>17</v>
      </c>
    </row>
    <row r="471" spans="1:24" x14ac:dyDescent="0.25">
      <c r="A471" t="s">
        <v>5251</v>
      </c>
      <c r="B471" t="s">
        <v>5259</v>
      </c>
      <c r="C471" t="s">
        <v>751</v>
      </c>
      <c r="D471">
        <v>0</v>
      </c>
      <c r="H471">
        <f t="shared" si="7"/>
        <v>0</v>
      </c>
      <c r="I471" t="s">
        <v>2</v>
      </c>
      <c r="X471" t="s">
        <v>17</v>
      </c>
    </row>
    <row r="472" spans="1:24" x14ac:dyDescent="0.25">
      <c r="A472" t="s">
        <v>5251</v>
      </c>
      <c r="B472" t="s">
        <v>5259</v>
      </c>
      <c r="C472" t="s">
        <v>752</v>
      </c>
      <c r="D472">
        <v>0</v>
      </c>
      <c r="H472">
        <f t="shared" si="7"/>
        <v>0</v>
      </c>
      <c r="I472" t="s">
        <v>2</v>
      </c>
      <c r="X472" t="s">
        <v>17</v>
      </c>
    </row>
    <row r="473" spans="1:24" x14ac:dyDescent="0.25">
      <c r="A473" t="s">
        <v>5251</v>
      </c>
      <c r="B473" t="s">
        <v>5259</v>
      </c>
      <c r="C473" t="s">
        <v>753</v>
      </c>
      <c r="D473">
        <v>0</v>
      </c>
      <c r="H473">
        <f t="shared" si="7"/>
        <v>0</v>
      </c>
      <c r="I473" t="s">
        <v>2</v>
      </c>
      <c r="X473" t="s">
        <v>17</v>
      </c>
    </row>
    <row r="474" spans="1:24" x14ac:dyDescent="0.25">
      <c r="A474" t="s">
        <v>5251</v>
      </c>
      <c r="B474" t="s">
        <v>5259</v>
      </c>
      <c r="C474" t="s">
        <v>754</v>
      </c>
      <c r="D474">
        <v>0</v>
      </c>
      <c r="H474">
        <f t="shared" si="7"/>
        <v>0</v>
      </c>
      <c r="I474" t="s">
        <v>2</v>
      </c>
      <c r="X474" t="s">
        <v>17</v>
      </c>
    </row>
    <row r="475" spans="1:24" x14ac:dyDescent="0.25">
      <c r="A475" t="s">
        <v>5251</v>
      </c>
      <c r="B475" t="s">
        <v>5259</v>
      </c>
      <c r="C475" t="s">
        <v>755</v>
      </c>
      <c r="D475">
        <v>0</v>
      </c>
      <c r="H475">
        <f t="shared" si="7"/>
        <v>0</v>
      </c>
      <c r="I475" t="s">
        <v>2</v>
      </c>
      <c r="X475" t="s">
        <v>17</v>
      </c>
    </row>
    <row r="476" spans="1:24" x14ac:dyDescent="0.25">
      <c r="A476" t="s">
        <v>5251</v>
      </c>
      <c r="B476" t="s">
        <v>5259</v>
      </c>
      <c r="C476" t="s">
        <v>756</v>
      </c>
      <c r="D476">
        <v>0</v>
      </c>
      <c r="H476">
        <f t="shared" si="7"/>
        <v>0</v>
      </c>
      <c r="I476" t="s">
        <v>2</v>
      </c>
      <c r="X476" t="s">
        <v>17</v>
      </c>
    </row>
    <row r="477" spans="1:24" x14ac:dyDescent="0.25">
      <c r="A477" t="s">
        <v>5251</v>
      </c>
      <c r="B477" t="s">
        <v>5259</v>
      </c>
      <c r="C477" t="s">
        <v>757</v>
      </c>
      <c r="D477">
        <v>0</v>
      </c>
      <c r="H477">
        <f t="shared" si="7"/>
        <v>0</v>
      </c>
      <c r="I477" t="s">
        <v>2</v>
      </c>
      <c r="X477" t="s">
        <v>17</v>
      </c>
    </row>
    <row r="478" spans="1:24" x14ac:dyDescent="0.25">
      <c r="A478" t="s">
        <v>5251</v>
      </c>
      <c r="B478" t="s">
        <v>5259</v>
      </c>
      <c r="C478" t="s">
        <v>758</v>
      </c>
      <c r="D478">
        <v>0</v>
      </c>
      <c r="H478">
        <f t="shared" si="7"/>
        <v>0</v>
      </c>
      <c r="I478" t="s">
        <v>2</v>
      </c>
      <c r="X478" t="s">
        <v>17</v>
      </c>
    </row>
    <row r="479" spans="1:24" x14ac:dyDescent="0.25">
      <c r="A479" t="s">
        <v>5251</v>
      </c>
      <c r="B479" t="s">
        <v>5259</v>
      </c>
      <c r="C479" t="s">
        <v>759</v>
      </c>
      <c r="D479">
        <v>0</v>
      </c>
      <c r="H479">
        <f t="shared" si="7"/>
        <v>0</v>
      </c>
      <c r="I479" t="s">
        <v>2</v>
      </c>
      <c r="X479" t="s">
        <v>17</v>
      </c>
    </row>
    <row r="480" spans="1:24" x14ac:dyDescent="0.25">
      <c r="A480" t="s">
        <v>5251</v>
      </c>
      <c r="B480" t="s">
        <v>5259</v>
      </c>
      <c r="C480" t="s">
        <v>760</v>
      </c>
      <c r="D480">
        <v>0</v>
      </c>
      <c r="H480">
        <f t="shared" si="7"/>
        <v>0</v>
      </c>
      <c r="I480" t="s">
        <v>2</v>
      </c>
      <c r="X480" t="s">
        <v>17</v>
      </c>
    </row>
    <row r="481" spans="1:24" x14ac:dyDescent="0.25">
      <c r="A481" t="s">
        <v>5251</v>
      </c>
      <c r="B481" t="s">
        <v>5259</v>
      </c>
      <c r="C481" t="s">
        <v>761</v>
      </c>
      <c r="D481">
        <v>0</v>
      </c>
      <c r="H481">
        <f t="shared" si="7"/>
        <v>0</v>
      </c>
      <c r="I481" t="s">
        <v>2</v>
      </c>
      <c r="X481" t="s">
        <v>17</v>
      </c>
    </row>
    <row r="482" spans="1:24" x14ac:dyDescent="0.25">
      <c r="A482" t="s">
        <v>5251</v>
      </c>
      <c r="B482" t="s">
        <v>5259</v>
      </c>
      <c r="C482" t="s">
        <v>762</v>
      </c>
      <c r="D482">
        <v>0</v>
      </c>
      <c r="H482">
        <f t="shared" si="7"/>
        <v>0</v>
      </c>
      <c r="I482" t="s">
        <v>2</v>
      </c>
      <c r="X482" t="s">
        <v>17</v>
      </c>
    </row>
    <row r="483" spans="1:24" x14ac:dyDescent="0.25">
      <c r="A483" t="s">
        <v>5251</v>
      </c>
      <c r="B483" t="s">
        <v>5259</v>
      </c>
      <c r="C483" t="s">
        <v>763</v>
      </c>
      <c r="D483">
        <v>0</v>
      </c>
      <c r="H483">
        <f t="shared" si="7"/>
        <v>0</v>
      </c>
      <c r="I483" t="s">
        <v>2</v>
      </c>
      <c r="X483" t="s">
        <v>17</v>
      </c>
    </row>
    <row r="484" spans="1:24" x14ac:dyDescent="0.25">
      <c r="A484" t="s">
        <v>5251</v>
      </c>
      <c r="B484" t="s">
        <v>5259</v>
      </c>
      <c r="C484" t="s">
        <v>764</v>
      </c>
      <c r="D484">
        <v>0</v>
      </c>
      <c r="H484">
        <f t="shared" si="7"/>
        <v>0</v>
      </c>
      <c r="I484" t="s">
        <v>2</v>
      </c>
      <c r="X484" t="s">
        <v>17</v>
      </c>
    </row>
    <row r="485" spans="1:24" x14ac:dyDescent="0.25">
      <c r="A485" t="s">
        <v>5251</v>
      </c>
      <c r="B485" t="s">
        <v>5259</v>
      </c>
      <c r="C485" t="s">
        <v>765</v>
      </c>
      <c r="D485">
        <v>0</v>
      </c>
      <c r="H485">
        <f t="shared" si="7"/>
        <v>0</v>
      </c>
      <c r="I485" t="s">
        <v>2</v>
      </c>
      <c r="X485" t="s">
        <v>17</v>
      </c>
    </row>
    <row r="486" spans="1:24" x14ac:dyDescent="0.25">
      <c r="A486" t="s">
        <v>5251</v>
      </c>
      <c r="B486" t="s">
        <v>5259</v>
      </c>
      <c r="C486" t="s">
        <v>766</v>
      </c>
      <c r="D486">
        <v>0</v>
      </c>
      <c r="H486">
        <f t="shared" si="7"/>
        <v>0</v>
      </c>
      <c r="I486" t="s">
        <v>2</v>
      </c>
      <c r="X486" t="s">
        <v>17</v>
      </c>
    </row>
    <row r="487" spans="1:24" x14ac:dyDescent="0.25">
      <c r="A487" t="s">
        <v>5251</v>
      </c>
      <c r="B487" t="s">
        <v>5259</v>
      </c>
      <c r="C487" t="s">
        <v>767</v>
      </c>
      <c r="D487">
        <v>0</v>
      </c>
      <c r="H487">
        <f t="shared" si="7"/>
        <v>0</v>
      </c>
      <c r="I487" t="s">
        <v>2</v>
      </c>
      <c r="X487" t="s">
        <v>17</v>
      </c>
    </row>
    <row r="488" spans="1:24" x14ac:dyDescent="0.25">
      <c r="A488" t="s">
        <v>5251</v>
      </c>
      <c r="B488" t="s">
        <v>5259</v>
      </c>
      <c r="C488" t="s">
        <v>768</v>
      </c>
      <c r="D488">
        <v>0</v>
      </c>
      <c r="H488">
        <f t="shared" si="7"/>
        <v>0</v>
      </c>
      <c r="I488" t="s">
        <v>2</v>
      </c>
      <c r="X488" t="s">
        <v>17</v>
      </c>
    </row>
    <row r="489" spans="1:24" x14ac:dyDescent="0.25">
      <c r="A489" t="s">
        <v>5251</v>
      </c>
      <c r="B489" t="s">
        <v>5259</v>
      </c>
      <c r="C489" t="s">
        <v>769</v>
      </c>
      <c r="D489">
        <v>0</v>
      </c>
      <c r="H489">
        <f t="shared" si="7"/>
        <v>0</v>
      </c>
      <c r="I489" t="s">
        <v>2</v>
      </c>
      <c r="X489" t="s">
        <v>17</v>
      </c>
    </row>
    <row r="490" spans="1:24" x14ac:dyDescent="0.25">
      <c r="A490" t="s">
        <v>5251</v>
      </c>
      <c r="B490" t="s">
        <v>5259</v>
      </c>
      <c r="C490" t="s">
        <v>770</v>
      </c>
      <c r="D490">
        <v>12</v>
      </c>
      <c r="H490">
        <f t="shared" si="7"/>
        <v>0</v>
      </c>
      <c r="I490" t="s">
        <v>2</v>
      </c>
      <c r="X490" t="s">
        <v>17</v>
      </c>
    </row>
    <row r="491" spans="1:24" x14ac:dyDescent="0.25">
      <c r="A491" t="s">
        <v>5251</v>
      </c>
      <c r="B491" t="s">
        <v>5259</v>
      </c>
      <c r="C491" t="s">
        <v>771</v>
      </c>
      <c r="D491">
        <v>0</v>
      </c>
      <c r="H491">
        <f t="shared" si="7"/>
        <v>0</v>
      </c>
      <c r="I491" t="s">
        <v>2</v>
      </c>
      <c r="X491" t="s">
        <v>17</v>
      </c>
    </row>
    <row r="492" spans="1:24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H492" t="str">
        <f t="shared" si="7"/>
        <v>Sets the gravity client-side ragdolls</v>
      </c>
      <c r="L492" t="s">
        <v>5</v>
      </c>
      <c r="X492" t="s">
        <v>17</v>
      </c>
    </row>
    <row r="493" spans="1:24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H493" t="str">
        <f t="shared" si="7"/>
        <v>Mainly cosmetic, client-only effect: when client doesn't know the last position of another player that spawns a ragdoll, the ra</v>
      </c>
      <c r="X493" t="s">
        <v>17</v>
      </c>
    </row>
    <row r="494" spans="1:24" x14ac:dyDescent="0.25">
      <c r="A494" t="s">
        <v>5251</v>
      </c>
      <c r="B494" t="s">
        <v>5259</v>
      </c>
      <c r="C494" t="s">
        <v>776</v>
      </c>
      <c r="D494">
        <v>0</v>
      </c>
      <c r="H494">
        <f t="shared" si="7"/>
        <v>0</v>
      </c>
      <c r="X494" t="s">
        <v>17</v>
      </c>
    </row>
    <row r="495" spans="1:24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H495" t="str">
        <f t="shared" si="7"/>
        <v>The order in which rebuy will attempt to repurchase items</v>
      </c>
      <c r="X495" t="s">
        <v>17</v>
      </c>
    </row>
    <row r="496" spans="1:24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  <c r="H496" t="str">
        <f t="shared" si="7"/>
        <v>Reloads the hud scale and resets scale and borders</v>
      </c>
    </row>
    <row r="497" spans="1:25" x14ac:dyDescent="0.25">
      <c r="A497" t="s">
        <v>5251</v>
      </c>
      <c r="B497" t="s">
        <v>5258</v>
      </c>
      <c r="C497" t="s">
        <v>781</v>
      </c>
      <c r="D497" t="s">
        <v>25</v>
      </c>
      <c r="H497">
        <f t="shared" si="7"/>
        <v>0</v>
      </c>
    </row>
    <row r="498" spans="1:25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  <c r="H498" t="str">
        <f t="shared" si="7"/>
        <v>Removes all maps from the workshop directory.</v>
      </c>
    </row>
    <row r="499" spans="1:25" x14ac:dyDescent="0.25">
      <c r="A499" t="s">
        <v>5251</v>
      </c>
      <c r="B499" t="s">
        <v>5259</v>
      </c>
      <c r="C499" t="s">
        <v>784</v>
      </c>
      <c r="D499">
        <v>1</v>
      </c>
      <c r="H499">
        <f t="shared" si="7"/>
        <v>0</v>
      </c>
      <c r="X499" t="s">
        <v>17</v>
      </c>
    </row>
    <row r="500" spans="1:25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  <c r="H500" t="str">
        <f t="shared" si="7"/>
        <v>Remove the decals from the entity under the crosshair.</v>
      </c>
    </row>
    <row r="501" spans="1:25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  <c r="H501" t="str">
        <f t="shared" si="7"/>
        <v>reports client-side sound patch count</v>
      </c>
    </row>
    <row r="502" spans="1:25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  <c r="H502" t="str">
        <f t="shared" si="7"/>
        <v>Delay in seconds before the client will resend the 'connect' attempt</v>
      </c>
    </row>
    <row r="503" spans="1:25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  <c r="H503" t="str">
        <f t="shared" si="7"/>
        <v>Total time allowed for the client to resend the 'connect' attempt</v>
      </c>
    </row>
    <row r="504" spans="1:25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H504" t="str">
        <f t="shared" si="7"/>
        <v>Use right-handed view models.</v>
      </c>
      <c r="I504" t="s">
        <v>2</v>
      </c>
      <c r="X504" t="s">
        <v>17</v>
      </c>
      <c r="Y504" t="s">
        <v>18</v>
      </c>
    </row>
    <row r="505" spans="1:25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H505" t="str">
        <f t="shared" si="7"/>
        <v>Scale sensitivity of rumble effects (0 to 1.0)</v>
      </c>
      <c r="I505" t="s">
        <v>2</v>
      </c>
      <c r="X505" t="s">
        <v>17</v>
      </c>
      <c r="Y505" t="s">
        <v>18</v>
      </c>
    </row>
    <row r="506" spans="1:25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H506" t="str">
        <f t="shared" si="7"/>
        <v>Hide names and avatars of muted players.</v>
      </c>
      <c r="X506" t="s">
        <v>17</v>
      </c>
    </row>
    <row r="507" spans="1:25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H507" t="str">
        <f t="shared" si="7"/>
        <v>Replace names of other players with something non-offensive.</v>
      </c>
      <c r="I507" t="s">
        <v>2</v>
      </c>
      <c r="X507" t="s">
        <v>17</v>
      </c>
    </row>
    <row r="508" spans="1:25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H508" t="str">
        <f t="shared" si="7"/>
        <v>Name of the binding to enable mouse selection in the scoreboard</v>
      </c>
      <c r="I508" t="s">
        <v>2</v>
      </c>
      <c r="X508" t="s">
        <v>17</v>
      </c>
    </row>
    <row r="509" spans="1:25" x14ac:dyDescent="0.25">
      <c r="A509" t="s">
        <v>5251</v>
      </c>
      <c r="B509" t="s">
        <v>5259</v>
      </c>
      <c r="C509" t="s">
        <v>803</v>
      </c>
      <c r="D509">
        <v>0</v>
      </c>
      <c r="H509">
        <f t="shared" si="7"/>
        <v>0</v>
      </c>
      <c r="I509" t="s">
        <v>2</v>
      </c>
      <c r="X509" t="s">
        <v>17</v>
      </c>
    </row>
    <row r="510" spans="1:25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H510" t="str">
        <f t="shared" si="7"/>
        <v>When enabled, 360x60 (&lt;16kb) image file will be displayed to on-server spectators.</v>
      </c>
      <c r="X510" t="s">
        <v>17</v>
      </c>
    </row>
    <row r="511" spans="1:25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H511" t="str">
        <f t="shared" si="7"/>
        <v>When enabled, 220x45 (&lt;16kb) image file will be displayed to on-server spectators.</v>
      </c>
      <c r="X511" t="s">
        <v>17</v>
      </c>
    </row>
    <row r="512" spans="1:25" x14ac:dyDescent="0.25">
      <c r="A512" t="s">
        <v>5251</v>
      </c>
      <c r="B512" t="s">
        <v>5259</v>
      </c>
      <c r="C512" t="s">
        <v>808</v>
      </c>
      <c r="D512">
        <v>256</v>
      </c>
      <c r="H512">
        <f t="shared" si="7"/>
        <v>0</v>
      </c>
      <c r="L512" t="s">
        <v>5</v>
      </c>
      <c r="X512" t="s">
        <v>17</v>
      </c>
    </row>
    <row r="513" spans="1:25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H513" t="str">
        <f t="shared" si="7"/>
        <v>Is set, the clan name will show next to player names in the death notices.</v>
      </c>
      <c r="I513" t="s">
        <v>2</v>
      </c>
      <c r="X513" t="s">
        <v>17</v>
      </c>
    </row>
    <row r="514" spans="1:25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H514" t="str">
        <f t="shared" si="7"/>
        <v xml:space="preserve">Show the crosshair of the player being observed. 0: off 1: friends and party 2: everyone </v>
      </c>
      <c r="I514" t="s">
        <v>2</v>
      </c>
      <c r="X514" t="s">
        <v>17</v>
      </c>
    </row>
    <row r="515" spans="1:25" x14ac:dyDescent="0.25">
      <c r="A515" t="s">
        <v>5251</v>
      </c>
      <c r="B515" t="s">
        <v>5258</v>
      </c>
      <c r="C515" t="s">
        <v>813</v>
      </c>
      <c r="D515" t="s">
        <v>25</v>
      </c>
      <c r="H515">
        <f t="shared" ref="H515:H578" si="8">IF(F515="",E515, F515 &amp; " - Original Helptext: " &amp;E515)</f>
        <v>0</v>
      </c>
    </row>
    <row r="516" spans="1:25" x14ac:dyDescent="0.25">
      <c r="A516" t="s">
        <v>5251</v>
      </c>
      <c r="B516" t="s">
        <v>5258</v>
      </c>
      <c r="C516" t="s">
        <v>814</v>
      </c>
      <c r="D516" t="s">
        <v>25</v>
      </c>
      <c r="H516">
        <f t="shared" si="8"/>
        <v>0</v>
      </c>
    </row>
    <row r="517" spans="1:25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H517" t="str">
        <f t="shared" si="8"/>
        <v>Show activities in the (client) animation state display.</v>
      </c>
      <c r="L517" t="s">
        <v>5</v>
      </c>
      <c r="X517" t="s">
        <v>17</v>
      </c>
    </row>
    <row r="518" spans="1:25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  <c r="H518" t="str">
        <f t="shared" si="8"/>
        <v>Dump entity list to console.</v>
      </c>
    </row>
    <row r="519" spans="1:25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H519" t="str">
        <f t="shared" si="8"/>
        <v>Show prediction errors, 2 for above plus detailed field deltas.</v>
      </c>
      <c r="X519" t="s">
        <v>17</v>
      </c>
    </row>
    <row r="520" spans="1:25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H520" t="str">
        <f t="shared" si="8"/>
        <v>Print event firing info in the console</v>
      </c>
      <c r="L520" t="s">
        <v>5</v>
      </c>
    </row>
    <row r="521" spans="1:25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H521" t="str">
        <f t="shared" si="8"/>
        <v>Draw fps meter (1 = fps, 2 = smooth, 3 = server, 4 = Show+LogToFile, 5 = Thread and wait times +10 = detailed )</v>
      </c>
      <c r="X521" t="s">
        <v>17</v>
      </c>
    </row>
    <row r="522" spans="1:25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H522" t="str">
        <f t="shared" si="8"/>
        <v>Set to 0 to not show on-screen help</v>
      </c>
      <c r="I522" t="s">
        <v>2</v>
      </c>
      <c r="X522" t="s">
        <v>17</v>
      </c>
    </row>
    <row r="523" spans="1:25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H523" t="str">
        <f t="shared" si="8"/>
        <v>Toggles display of current loadout.</v>
      </c>
      <c r="I523" t="s">
        <v>2</v>
      </c>
      <c r="X523" t="s">
        <v>17</v>
      </c>
      <c r="Y523" t="s">
        <v>18</v>
      </c>
    </row>
    <row r="524" spans="1:25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H524" t="str">
        <f t="shared" si="8"/>
        <v>Allow plugins to display messages to you</v>
      </c>
      <c r="I524" t="s">
        <v>2</v>
      </c>
    </row>
    <row r="525" spans="1:25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H525" t="str">
        <f t="shared" si="8"/>
        <v>Draw current position at top of screen</v>
      </c>
      <c r="X525" t="s">
        <v>17</v>
      </c>
    </row>
    <row r="526" spans="1:25" x14ac:dyDescent="0.25">
      <c r="A526" t="s">
        <v>5251</v>
      </c>
      <c r="B526" t="s">
        <v>5259</v>
      </c>
      <c r="C526" t="s">
        <v>833</v>
      </c>
      <c r="D526">
        <v>450</v>
      </c>
      <c r="H526">
        <f t="shared" si="8"/>
        <v>0</v>
      </c>
      <c r="L526" t="s">
        <v>5</v>
      </c>
      <c r="X526" t="s">
        <v>17</v>
      </c>
    </row>
    <row r="527" spans="1:25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  <c r="H527" t="str">
        <f t="shared" si="8"/>
        <v>Draw trajectory of the deployed grenade if thrown from this position. Takes an optional parameter for how long the drawn trajec</v>
      </c>
    </row>
    <row r="528" spans="1:25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H528" t="str">
        <f t="shared" si="8"/>
        <v>Set to 1 to stop all models that go through the model fast path from rendering</v>
      </c>
      <c r="L528" t="s">
        <v>5</v>
      </c>
      <c r="X528" t="s">
        <v>17</v>
      </c>
    </row>
    <row r="529" spans="1:25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H529" t="str">
        <f t="shared" si="8"/>
        <v>Set to 1 to skip any models that don't go through the model fast path</v>
      </c>
      <c r="L529" t="s">
        <v>5</v>
      </c>
    </row>
    <row r="530" spans="1:25" x14ac:dyDescent="0.25">
      <c r="A530" t="s">
        <v>5251</v>
      </c>
      <c r="B530" t="s">
        <v>5259</v>
      </c>
      <c r="C530" t="s">
        <v>840</v>
      </c>
      <c r="D530">
        <v>0</v>
      </c>
      <c r="H530">
        <f t="shared" si="8"/>
        <v>0</v>
      </c>
      <c r="I530" t="s">
        <v>2</v>
      </c>
      <c r="X530" t="s">
        <v>17</v>
      </c>
    </row>
    <row r="531" spans="1:25" x14ac:dyDescent="0.25">
      <c r="A531" t="s">
        <v>5251</v>
      </c>
      <c r="B531" t="s">
        <v>5258</v>
      </c>
      <c r="C531" t="s">
        <v>841</v>
      </c>
      <c r="D531" t="s">
        <v>25</v>
      </c>
      <c r="H531">
        <f t="shared" si="8"/>
        <v>0</v>
      </c>
    </row>
    <row r="532" spans="1:25" x14ac:dyDescent="0.25">
      <c r="A532" t="s">
        <v>5251</v>
      </c>
      <c r="B532" t="s">
        <v>5258</v>
      </c>
      <c r="C532" t="s">
        <v>842</v>
      </c>
      <c r="D532" t="s">
        <v>25</v>
      </c>
      <c r="H532">
        <f t="shared" si="8"/>
        <v>0</v>
      </c>
    </row>
    <row r="533" spans="1:25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  <c r="H533" t="str">
        <f t="shared" si="8"/>
        <v>Flushes the sounds.txt system (server only)</v>
      </c>
    </row>
    <row r="534" spans="1:25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  <c r="H534" t="str">
        <f t="shared" si="8"/>
        <v>Flushes the sounds.txt system</v>
      </c>
    </row>
    <row r="535" spans="1:25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  <c r="H535" t="str">
        <f t="shared" si="8"/>
        <v>Flushes the client side soundscapes</v>
      </c>
    </row>
    <row r="536" spans="1:25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  <c r="H536" t="str">
        <f t="shared" si="8"/>
        <v>print soundscapes</v>
      </c>
    </row>
    <row r="537" spans="1:25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H537" t="str">
        <f t="shared" si="8"/>
        <v>0 = LALT, 1 = LSHIFT, 2 = +reload</v>
      </c>
      <c r="I537" t="s">
        <v>2</v>
      </c>
      <c r="X537" t="s">
        <v>17</v>
      </c>
    </row>
    <row r="538" spans="1:25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H538" t="str">
        <f t="shared" si="8"/>
        <v>Saves the last viewed spectator mode for use next time we start to spectate</v>
      </c>
      <c r="I538" t="s">
        <v>2</v>
      </c>
      <c r="M538" t="s">
        <v>6</v>
      </c>
      <c r="V538" t="s">
        <v>15</v>
      </c>
      <c r="X538" t="s">
        <v>17</v>
      </c>
      <c r="Y538" t="s">
        <v>18</v>
      </c>
    </row>
    <row r="539" spans="1:25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H539" t="str">
        <f t="shared" si="8"/>
        <v>Toggle the visibility of the spectator bindings.</v>
      </c>
      <c r="W539" t="s">
        <v>16</v>
      </c>
      <c r="X539" t="s">
        <v>17</v>
      </c>
    </row>
    <row r="540" spans="1:25" x14ac:dyDescent="0.25">
      <c r="A540" t="s">
        <v>5251</v>
      </c>
      <c r="B540" t="s">
        <v>5259</v>
      </c>
      <c r="C540" t="s">
        <v>857</v>
      </c>
      <c r="D540">
        <v>1</v>
      </c>
      <c r="H540">
        <f t="shared" si="8"/>
        <v>0</v>
      </c>
      <c r="X540" t="s">
        <v>17</v>
      </c>
    </row>
    <row r="541" spans="1:25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H541" t="str">
        <f t="shared" si="8"/>
        <v>Toggle set the player names and team names to the opposite side in which they are are on the spectator panel.</v>
      </c>
      <c r="X541" t="s">
        <v>17</v>
      </c>
    </row>
    <row r="542" spans="1:25" x14ac:dyDescent="0.25">
      <c r="A542" t="s">
        <v>5251</v>
      </c>
      <c r="B542" t="s">
        <v>5259</v>
      </c>
      <c r="C542" t="s">
        <v>860</v>
      </c>
      <c r="D542">
        <v>0</v>
      </c>
      <c r="H542">
        <f t="shared" si="8"/>
        <v>0</v>
      </c>
      <c r="X542" t="s">
        <v>17</v>
      </c>
    </row>
    <row r="543" spans="1:25" x14ac:dyDescent="0.25">
      <c r="A543" t="s">
        <v>5251</v>
      </c>
      <c r="B543" t="s">
        <v>5259</v>
      </c>
      <c r="C543" t="s">
        <v>861</v>
      </c>
      <c r="D543">
        <v>512</v>
      </c>
      <c r="H543">
        <f t="shared" si="8"/>
        <v>0</v>
      </c>
      <c r="L543" t="s">
        <v>5</v>
      </c>
      <c r="X543" t="s">
        <v>17</v>
      </c>
    </row>
    <row r="544" spans="1:25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  <c r="H544" t="str">
        <f t="shared" si="8"/>
        <v>print origin in script format</v>
      </c>
    </row>
    <row r="545" spans="1:25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  <c r="H545" t="str">
        <f t="shared" si="8"/>
        <v>Enable/disable saving screenshots to Steam</v>
      </c>
    </row>
    <row r="546" spans="1:25" x14ac:dyDescent="0.25">
      <c r="A546" t="s">
        <v>5251</v>
      </c>
      <c r="B546" t="s">
        <v>5259</v>
      </c>
      <c r="C546" t="s">
        <v>866</v>
      </c>
      <c r="D546">
        <v>0</v>
      </c>
      <c r="H546">
        <f t="shared" si="8"/>
        <v>0</v>
      </c>
      <c r="L546" t="s">
        <v>5</v>
      </c>
      <c r="X546" t="s">
        <v>17</v>
      </c>
    </row>
    <row r="547" spans="1:25" x14ac:dyDescent="0.25">
      <c r="A547" t="s">
        <v>5251</v>
      </c>
      <c r="B547" t="s">
        <v>5259</v>
      </c>
      <c r="C547" t="s">
        <v>867</v>
      </c>
      <c r="D547">
        <v>2</v>
      </c>
      <c r="H547">
        <f t="shared" si="8"/>
        <v>0</v>
      </c>
      <c r="L547" t="s">
        <v>5</v>
      </c>
      <c r="X547" t="s">
        <v>17</v>
      </c>
    </row>
    <row r="548" spans="1:25" x14ac:dyDescent="0.25">
      <c r="A548" t="s">
        <v>5251</v>
      </c>
      <c r="B548" t="s">
        <v>5259</v>
      </c>
      <c r="C548" t="s">
        <v>868</v>
      </c>
      <c r="D548">
        <v>2</v>
      </c>
      <c r="H548">
        <f t="shared" si="8"/>
        <v>0</v>
      </c>
      <c r="L548" t="s">
        <v>5</v>
      </c>
      <c r="X548" t="s">
        <v>17</v>
      </c>
    </row>
    <row r="549" spans="1:25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H549" t="str">
        <f t="shared" si="8"/>
        <v>Set to values greater than 0 for ortho view render projections.</v>
      </c>
      <c r="L549" t="s">
        <v>5</v>
      </c>
      <c r="X549" t="s">
        <v>17</v>
      </c>
    </row>
    <row r="550" spans="1:25" x14ac:dyDescent="0.25">
      <c r="A550" t="s">
        <v>5251</v>
      </c>
      <c r="B550" t="s">
        <v>5259</v>
      </c>
      <c r="C550" t="s">
        <v>871</v>
      </c>
      <c r="D550">
        <v>1</v>
      </c>
      <c r="H550">
        <f t="shared" si="8"/>
        <v>0</v>
      </c>
      <c r="I550" t="s">
        <v>2</v>
      </c>
      <c r="X550" t="s">
        <v>17</v>
      </c>
    </row>
    <row r="551" spans="1:25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H551" t="str">
        <f t="shared" si="8"/>
        <v>max distance at which the overhead team id icons will show</v>
      </c>
      <c r="L551" t="s">
        <v>5</v>
      </c>
      <c r="X551" t="s">
        <v>17</v>
      </c>
      <c r="Y551" t="s">
        <v>18</v>
      </c>
    </row>
    <row r="552" spans="1:25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H552" t="str">
        <f t="shared" si="8"/>
        <v>max distance at which the overhead team id icons will show when a spectator</v>
      </c>
      <c r="L552" t="s">
        <v>5</v>
      </c>
      <c r="X552" t="s">
        <v>17</v>
      </c>
      <c r="Y552" t="s">
        <v>18</v>
      </c>
    </row>
    <row r="553" spans="1:25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H553" t="str">
        <f t="shared" si="8"/>
        <v>Always show team id over teammates. 1 = pips; 2 = pips, name, and equipment</v>
      </c>
      <c r="I553" t="s">
        <v>2</v>
      </c>
      <c r="X553" t="s">
        <v>17</v>
      </c>
    </row>
    <row r="554" spans="1:25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H554" t="str">
        <f t="shared" si="8"/>
        <v>In competitive, 1 = show teammates as separate colors in the radar, scoreboard, etc., 2 = show colors and letters</v>
      </c>
      <c r="I554" t="s">
        <v>2</v>
      </c>
      <c r="X554" t="s">
        <v>17</v>
      </c>
    </row>
    <row r="555" spans="1:25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H555" t="str">
        <f t="shared" si="8"/>
        <v>Enable parallel processing of bones</v>
      </c>
      <c r="X555" t="s">
        <v>17</v>
      </c>
    </row>
    <row r="556" spans="1:25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H556" t="str">
        <f t="shared" si="8"/>
        <v>After this many seconds without receiving a packet from the server, the client will disconnect itself</v>
      </c>
      <c r="I556" t="s">
        <v>2</v>
      </c>
    </row>
    <row r="557" spans="1:25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  <c r="H557" t="str">
        <f t="shared" si="8"/>
        <v>sets tree sway wind direction and strength</v>
      </c>
    </row>
    <row r="558" spans="1:25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H558" t="str">
        <f t="shared" si="8"/>
        <v>Number of packets per second of updates you are requesting from the server</v>
      </c>
      <c r="I558" t="s">
        <v>2</v>
      </c>
      <c r="M558" t="s">
        <v>6</v>
      </c>
    </row>
    <row r="559" spans="1:25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  <c r="H559" t="str">
        <f t="shared" si="8"/>
        <v>Updates visibility bits.</v>
      </c>
    </row>
    <row r="560" spans="1:25" x14ac:dyDescent="0.25">
      <c r="A560" t="s">
        <v>5251</v>
      </c>
      <c r="B560" t="s">
        <v>5259</v>
      </c>
      <c r="C560" t="s">
        <v>890</v>
      </c>
      <c r="D560">
        <v>320</v>
      </c>
      <c r="H560">
        <f t="shared" si="8"/>
        <v>0</v>
      </c>
      <c r="L560" t="s">
        <v>5</v>
      </c>
      <c r="X560" t="s">
        <v>17</v>
      </c>
    </row>
    <row r="561" spans="1:25" x14ac:dyDescent="0.25">
      <c r="A561" t="s">
        <v>5251</v>
      </c>
      <c r="B561" t="s">
        <v>5259</v>
      </c>
      <c r="C561" t="s">
        <v>891</v>
      </c>
      <c r="D561">
        <v>1</v>
      </c>
      <c r="H561">
        <f t="shared" si="8"/>
        <v>0</v>
      </c>
      <c r="L561" t="s">
        <v>5</v>
      </c>
      <c r="X561" t="s">
        <v>17</v>
      </c>
    </row>
    <row r="562" spans="1:25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H562" t="str">
        <f t="shared" si="8"/>
        <v>Pressing the +use key will open the buy menu if in a buy zone (just as if you pressed the 'buy' key).</v>
      </c>
      <c r="I562" t="s">
        <v>2</v>
      </c>
      <c r="M562" t="s">
        <v>6</v>
      </c>
      <c r="X562" t="s">
        <v>17</v>
      </c>
      <c r="Y562" t="s">
        <v>18</v>
      </c>
    </row>
    <row r="563" spans="1:25" x14ac:dyDescent="0.25">
      <c r="A563" t="s">
        <v>5251</v>
      </c>
      <c r="B563" t="s">
        <v>5259</v>
      </c>
      <c r="C563" t="s">
        <v>894</v>
      </c>
      <c r="D563">
        <v>1</v>
      </c>
      <c r="H563">
        <f t="shared" si="8"/>
        <v>0</v>
      </c>
      <c r="I563" t="s">
        <v>2</v>
      </c>
      <c r="X563" t="s">
        <v>17</v>
      </c>
    </row>
    <row r="564" spans="1:25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  <c r="H564" t="str">
        <f t="shared" si="8"/>
        <v>Set the view entity index.</v>
      </c>
    </row>
    <row r="565" spans="1:25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H565" t="str">
        <f t="shared" si="8"/>
        <v>The amount the viewmodel shifts to the left when shooting accuracy increases.</v>
      </c>
      <c r="I565" t="s">
        <v>2</v>
      </c>
      <c r="X565" t="s">
        <v>17</v>
      </c>
    </row>
    <row r="566" spans="1:25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H566" t="str">
        <f t="shared" si="8"/>
        <v>The amount the viewmodel shifts to the right when shooting accuracy decreases.</v>
      </c>
      <c r="I566" t="s">
        <v>2</v>
      </c>
      <c r="X566" t="s">
        <v>17</v>
      </c>
    </row>
    <row r="567" spans="1:25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  <c r="H567" t="str">
        <f t="shared" si="8"/>
        <v>Filter voice traffic, e.g.: 'steamids:765123,765456,7651244'</v>
      </c>
    </row>
    <row r="568" spans="1:25" x14ac:dyDescent="0.25">
      <c r="A568" t="s">
        <v>5251</v>
      </c>
      <c r="B568" t="s">
        <v>5259</v>
      </c>
      <c r="C568" t="s">
        <v>903</v>
      </c>
      <c r="D568">
        <v>1</v>
      </c>
      <c r="H568">
        <f t="shared" si="8"/>
        <v>0</v>
      </c>
      <c r="L568" t="s">
        <v>5</v>
      </c>
      <c r="S568" t="s">
        <v>12</v>
      </c>
      <c r="X568" t="s">
        <v>17</v>
      </c>
    </row>
    <row r="569" spans="1:25" x14ac:dyDescent="0.25">
      <c r="A569" t="s">
        <v>5251</v>
      </c>
      <c r="B569" t="s">
        <v>5259</v>
      </c>
      <c r="C569" t="s">
        <v>904</v>
      </c>
      <c r="D569">
        <v>0</v>
      </c>
      <c r="H569">
        <f t="shared" si="8"/>
        <v>0</v>
      </c>
      <c r="L569" t="s">
        <v>5</v>
      </c>
      <c r="S569" t="s">
        <v>12</v>
      </c>
      <c r="X569" t="s">
        <v>17</v>
      </c>
    </row>
    <row r="570" spans="1:25" x14ac:dyDescent="0.25">
      <c r="A570" t="s">
        <v>5251</v>
      </c>
      <c r="B570" t="s">
        <v>5259</v>
      </c>
      <c r="C570" t="s">
        <v>905</v>
      </c>
      <c r="D570">
        <v>0</v>
      </c>
      <c r="H570">
        <f t="shared" si="8"/>
        <v>0</v>
      </c>
      <c r="L570" t="s">
        <v>5</v>
      </c>
      <c r="S570" t="s">
        <v>12</v>
      </c>
      <c r="X570" t="s">
        <v>17</v>
      </c>
    </row>
    <row r="571" spans="1:25" x14ac:dyDescent="0.25">
      <c r="A571" t="s">
        <v>5251</v>
      </c>
      <c r="B571" t="s">
        <v>5259</v>
      </c>
      <c r="C571" t="s">
        <v>906</v>
      </c>
      <c r="D571">
        <v>0</v>
      </c>
      <c r="H571">
        <f t="shared" si="8"/>
        <v>0</v>
      </c>
      <c r="L571" t="s">
        <v>5</v>
      </c>
      <c r="X571" t="s">
        <v>17</v>
      </c>
    </row>
    <row r="572" spans="1:25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H572" t="str">
        <f t="shared" si="8"/>
        <v>Draws a circle representing the effective range with every shot.</v>
      </c>
      <c r="L572" t="s">
        <v>5</v>
      </c>
      <c r="X572" t="s">
        <v>17</v>
      </c>
    </row>
    <row r="573" spans="1:25" x14ac:dyDescent="0.25">
      <c r="A573" t="s">
        <v>5251</v>
      </c>
      <c r="B573" t="s">
        <v>5259</v>
      </c>
      <c r="C573" t="s">
        <v>909</v>
      </c>
      <c r="D573">
        <v>10</v>
      </c>
      <c r="H573">
        <f t="shared" si="8"/>
        <v>0</v>
      </c>
      <c r="L573" t="s">
        <v>5</v>
      </c>
      <c r="X573" t="s">
        <v>17</v>
      </c>
    </row>
    <row r="574" spans="1:25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H574" t="str">
        <f t="shared" si="8"/>
        <v>Weather effects wind direction angle</v>
      </c>
      <c r="L574" t="s">
        <v>5</v>
      </c>
      <c r="X574" t="s">
        <v>17</v>
      </c>
    </row>
    <row r="575" spans="1:25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H575" t="str">
        <f t="shared" si="8"/>
        <v>Weather effects wind speed scalar</v>
      </c>
      <c r="L575" t="s">
        <v>5</v>
      </c>
      <c r="X575" t="s">
        <v>17</v>
      </c>
    </row>
    <row r="576" spans="1:25" x14ac:dyDescent="0.25">
      <c r="A576" t="s">
        <v>5251</v>
      </c>
      <c r="B576" t="s">
        <v>5259</v>
      </c>
      <c r="C576" t="s">
        <v>914</v>
      </c>
      <c r="D576">
        <v>1</v>
      </c>
      <c r="H576">
        <f t="shared" si="8"/>
        <v>0</v>
      </c>
      <c r="L576" t="s">
        <v>5</v>
      </c>
      <c r="X576" t="s">
        <v>17</v>
      </c>
    </row>
    <row r="577" spans="1:25" x14ac:dyDescent="0.25">
      <c r="A577" t="s">
        <v>5253</v>
      </c>
      <c r="C577" t="s">
        <v>915</v>
      </c>
      <c r="D577" t="s">
        <v>25</v>
      </c>
      <c r="E577" t="s">
        <v>916</v>
      </c>
      <c r="H577" t="str">
        <f t="shared" si="8"/>
        <v>Clear all console output.</v>
      </c>
    </row>
    <row r="578" spans="1:25" x14ac:dyDescent="0.25">
      <c r="A578" t="s">
        <v>5251</v>
      </c>
      <c r="C578" t="s">
        <v>917</v>
      </c>
      <c r="D578" t="s">
        <v>25</v>
      </c>
      <c r="E578" t="s">
        <v>918</v>
      </c>
      <c r="H578" t="str">
        <f t="shared" si="8"/>
        <v>Clears the animation cache, freeing the memory (until the next time a streaming animblock is requested).</v>
      </c>
    </row>
    <row r="579" spans="1:25" x14ac:dyDescent="0.25">
      <c r="A579" t="s">
        <v>5251</v>
      </c>
      <c r="C579" t="s">
        <v>919</v>
      </c>
      <c r="D579" t="s">
        <v>25</v>
      </c>
      <c r="H579">
        <f t="shared" ref="H579:H642" si="9">IF(F579="",E579, F579 &amp; " - Original Helptext: " &amp;E579)</f>
        <v>0</v>
      </c>
    </row>
    <row r="580" spans="1:25" x14ac:dyDescent="0.25">
      <c r="A580" t="s">
        <v>5251</v>
      </c>
      <c r="C580" t="s">
        <v>920</v>
      </c>
      <c r="D580" t="s">
        <v>25</v>
      </c>
      <c r="E580" t="s">
        <v>921</v>
      </c>
      <c r="H580" t="str">
        <f t="shared" si="9"/>
        <v>clears debug overlays</v>
      </c>
    </row>
    <row r="581" spans="1:25" x14ac:dyDescent="0.25">
      <c r="A581" t="s">
        <v>5251</v>
      </c>
      <c r="C581" t="s">
        <v>922</v>
      </c>
      <c r="D581">
        <v>27005</v>
      </c>
      <c r="E581" t="s">
        <v>923</v>
      </c>
      <c r="H581" t="str">
        <f t="shared" si="9"/>
        <v>Host game client port</v>
      </c>
    </row>
    <row r="582" spans="1:25" x14ac:dyDescent="0.25">
      <c r="A582" t="s">
        <v>5251</v>
      </c>
      <c r="C582" t="s">
        <v>924</v>
      </c>
      <c r="D582">
        <v>0</v>
      </c>
      <c r="E582" t="s">
        <v>925</v>
      </c>
      <c r="H582" t="str">
        <f t="shared" si="9"/>
        <v>Enable close captioning.</v>
      </c>
      <c r="I582" t="s">
        <v>2</v>
      </c>
    </row>
    <row r="583" spans="1:25" x14ac:dyDescent="0.25">
      <c r="A583" t="s">
        <v>5253</v>
      </c>
      <c r="C583" t="s">
        <v>926</v>
      </c>
      <c r="D583">
        <v>0</v>
      </c>
      <c r="E583" t="s">
        <v>927</v>
      </c>
      <c r="H583" t="str">
        <f t="shared" si="9"/>
        <v>Set non-zero to close the buy menu after buying something</v>
      </c>
      <c r="I583" t="s">
        <v>2</v>
      </c>
      <c r="X583" t="s">
        <v>17</v>
      </c>
      <c r="Y583" t="s">
        <v>18</v>
      </c>
    </row>
    <row r="584" spans="1:25" x14ac:dyDescent="0.25">
      <c r="A584" t="s">
        <v>5251</v>
      </c>
      <c r="C584" t="s">
        <v>928</v>
      </c>
      <c r="D584">
        <v>1</v>
      </c>
      <c r="H584">
        <f t="shared" si="9"/>
        <v>0</v>
      </c>
      <c r="L584" t="s">
        <v>5</v>
      </c>
      <c r="X584" t="s">
        <v>17</v>
      </c>
    </row>
    <row r="585" spans="1:25" x14ac:dyDescent="0.25">
      <c r="A585" t="s">
        <v>5251</v>
      </c>
      <c r="C585" t="s">
        <v>929</v>
      </c>
      <c r="D585" t="s">
        <v>25</v>
      </c>
      <c r="E585" t="s">
        <v>930</v>
      </c>
      <c r="H585" t="str">
        <f t="shared" si="9"/>
        <v>Toggle clutch mode convar</v>
      </c>
    </row>
    <row r="586" spans="1:25" x14ac:dyDescent="0.25">
      <c r="A586" t="s">
        <v>5252</v>
      </c>
      <c r="C586" t="s">
        <v>25</v>
      </c>
      <c r="D586" t="s">
        <v>25</v>
      </c>
      <c r="E586" t="s">
        <v>931</v>
      </c>
      <c r="H586" t="str">
        <f t="shared" si="9"/>
        <v>Forward command to server.</v>
      </c>
    </row>
    <row r="587" spans="1:25" x14ac:dyDescent="0.25">
      <c r="A587" t="s">
        <v>5252</v>
      </c>
      <c r="C587" t="s">
        <v>932</v>
      </c>
      <c r="D587" t="s">
        <v>25</v>
      </c>
      <c r="E587" t="s">
        <v>933</v>
      </c>
      <c r="H587" t="str">
        <f t="shared" si="9"/>
        <v>sets userinfo string for split screen player in slot 1</v>
      </c>
    </row>
    <row r="588" spans="1:25" x14ac:dyDescent="0.25">
      <c r="A588" t="s">
        <v>5252</v>
      </c>
      <c r="C588" t="s">
        <v>934</v>
      </c>
      <c r="D588" t="s">
        <v>25</v>
      </c>
      <c r="E588" t="s">
        <v>935</v>
      </c>
      <c r="H588" t="str">
        <f t="shared" si="9"/>
        <v>sets userinfo string for split screen player in slot 2</v>
      </c>
    </row>
    <row r="589" spans="1:25" x14ac:dyDescent="0.25">
      <c r="A589" t="s">
        <v>5252</v>
      </c>
      <c r="C589" t="s">
        <v>936</v>
      </c>
      <c r="D589" t="s">
        <v>25</v>
      </c>
      <c r="E589" t="s">
        <v>937</v>
      </c>
      <c r="H589" t="str">
        <f t="shared" si="9"/>
        <v>sets userinfo string for split screen player in slot 3</v>
      </c>
    </row>
    <row r="590" spans="1:25" x14ac:dyDescent="0.25">
      <c r="A590" t="s">
        <v>5252</v>
      </c>
      <c r="C590" t="s">
        <v>938</v>
      </c>
      <c r="D590" t="s">
        <v>25</v>
      </c>
      <c r="E590" t="s">
        <v>939</v>
      </c>
      <c r="H590" t="str">
        <f t="shared" si="9"/>
        <v>sets userinfo string for split screen player in slot 4</v>
      </c>
    </row>
    <row r="591" spans="1:25" x14ac:dyDescent="0.25">
      <c r="A591" t="s">
        <v>5251</v>
      </c>
      <c r="C591" t="s">
        <v>940</v>
      </c>
      <c r="D591" t="s">
        <v>25</v>
      </c>
      <c r="E591" t="s">
        <v>941</v>
      </c>
      <c r="H591" t="str">
        <f t="shared" si="9"/>
        <v>Tests collision system</v>
      </c>
    </row>
    <row r="592" spans="1:25" x14ac:dyDescent="0.25">
      <c r="A592" t="s">
        <v>5251</v>
      </c>
      <c r="C592" t="s">
        <v>942</v>
      </c>
      <c r="D592" t="s">
        <v>25</v>
      </c>
      <c r="E592" t="s">
        <v>943</v>
      </c>
      <c r="H592" t="str">
        <f t="shared" si="9"/>
        <v>Show/hide the color correction tools UI.</v>
      </c>
    </row>
    <row r="593" spans="1:24" x14ac:dyDescent="0.25">
      <c r="A593" t="s">
        <v>5251</v>
      </c>
      <c r="B593" t="s">
        <v>25</v>
      </c>
      <c r="C593" t="s">
        <v>944</v>
      </c>
      <c r="D593" t="s">
        <v>25</v>
      </c>
      <c r="H593">
        <f t="shared" si="9"/>
        <v>0</v>
      </c>
    </row>
    <row r="594" spans="1:24" x14ac:dyDescent="0.25">
      <c r="A594" t="s">
        <v>5251</v>
      </c>
      <c r="B594" t="s">
        <v>25</v>
      </c>
      <c r="C594" t="s">
        <v>945</v>
      </c>
      <c r="D594" t="s">
        <v>25</v>
      </c>
      <c r="H594">
        <f t="shared" si="9"/>
        <v>0</v>
      </c>
    </row>
    <row r="595" spans="1:24" x14ac:dyDescent="0.25">
      <c r="A595" t="s">
        <v>5251</v>
      </c>
      <c r="C595" t="s">
        <v>946</v>
      </c>
      <c r="D595" t="s">
        <v>25</v>
      </c>
      <c r="H595">
        <f t="shared" si="9"/>
        <v>0</v>
      </c>
    </row>
    <row r="596" spans="1:24" x14ac:dyDescent="0.25">
      <c r="A596" t="s">
        <v>5251</v>
      </c>
      <c r="C596" t="s">
        <v>947</v>
      </c>
      <c r="D596" t="s">
        <v>25</v>
      </c>
      <c r="H596">
        <f t="shared" si="9"/>
        <v>0</v>
      </c>
    </row>
    <row r="597" spans="1:24" x14ac:dyDescent="0.25">
      <c r="A597" t="s">
        <v>5251</v>
      </c>
      <c r="C597" t="s">
        <v>948</v>
      </c>
      <c r="D597">
        <v>0</v>
      </c>
      <c r="H597">
        <f t="shared" si="9"/>
        <v>0</v>
      </c>
      <c r="I597" t="s">
        <v>2</v>
      </c>
      <c r="X597" t="s">
        <v>17</v>
      </c>
    </row>
    <row r="598" spans="1:24" x14ac:dyDescent="0.25">
      <c r="A598" t="s">
        <v>5251</v>
      </c>
      <c r="C598" t="s">
        <v>949</v>
      </c>
      <c r="D598" t="s">
        <v>25</v>
      </c>
      <c r="E598" t="s">
        <v>950</v>
      </c>
      <c r="H598" t="str">
        <f t="shared" si="9"/>
        <v>Display the commentary model viewer. Usage: commentary_showmodelviewer &lt;model name&gt; &lt;optional attached model name&gt;</v>
      </c>
    </row>
    <row r="599" spans="1:24" x14ac:dyDescent="0.25">
      <c r="A599" t="s">
        <v>5251</v>
      </c>
      <c r="C599" t="s">
        <v>951</v>
      </c>
      <c r="D599" t="s">
        <v>25</v>
      </c>
      <c r="H599">
        <f t="shared" si="9"/>
        <v>0</v>
      </c>
    </row>
    <row r="600" spans="1:24" x14ac:dyDescent="0.25">
      <c r="A600" t="s">
        <v>5251</v>
      </c>
      <c r="C600" t="s">
        <v>952</v>
      </c>
      <c r="D600">
        <v>1</v>
      </c>
      <c r="E600" t="s">
        <v>953</v>
      </c>
      <c r="H600" t="str">
        <f t="shared" si="9"/>
        <v>Allows the notification area to be visible.</v>
      </c>
      <c r="I600" t="s">
        <v>2</v>
      </c>
    </row>
    <row r="601" spans="1:24" x14ac:dyDescent="0.25">
      <c r="A601" t="s">
        <v>5253</v>
      </c>
      <c r="C601" t="s">
        <v>954</v>
      </c>
      <c r="D601">
        <v>1</v>
      </c>
      <c r="E601" t="s">
        <v>955</v>
      </c>
      <c r="H601" t="str">
        <f t="shared" si="9"/>
        <v>Allows the console to be activated.</v>
      </c>
      <c r="I601" t="s">
        <v>2</v>
      </c>
    </row>
    <row r="602" spans="1:24" x14ac:dyDescent="0.25">
      <c r="A602" t="s">
        <v>5251</v>
      </c>
      <c r="C602" t="s">
        <v>956</v>
      </c>
      <c r="D602">
        <v>0</v>
      </c>
      <c r="E602" t="s">
        <v>957</v>
      </c>
      <c r="H602" t="str">
        <f t="shared" si="9"/>
        <v>Filters console output based on the setting of con_filter_text. 1 filters completely, 2 displays filtered text brighter than ot</v>
      </c>
    </row>
    <row r="603" spans="1:24" x14ac:dyDescent="0.25">
      <c r="A603" t="s">
        <v>5251</v>
      </c>
      <c r="C603" t="s">
        <v>958</v>
      </c>
      <c r="D603">
        <v>0</v>
      </c>
      <c r="E603" t="s">
        <v>959</v>
      </c>
      <c r="H603" t="str">
        <f t="shared" si="9"/>
        <v>Text with which to filter console spew. Set con_filter_enable 1 or 2 to activate.</v>
      </c>
    </row>
    <row r="604" spans="1:24" x14ac:dyDescent="0.25">
      <c r="A604" t="s">
        <v>5251</v>
      </c>
      <c r="C604" t="s">
        <v>960</v>
      </c>
      <c r="D604">
        <v>0</v>
      </c>
      <c r="E604" t="s">
        <v>961</v>
      </c>
      <c r="H604" t="str">
        <f t="shared" si="9"/>
        <v>Text with which to filter OUT of console spew. Set con_filter_enable 1 or 2 to activate.</v>
      </c>
    </row>
    <row r="605" spans="1:24" x14ac:dyDescent="0.25">
      <c r="A605" t="s">
        <v>5253</v>
      </c>
      <c r="C605" t="s">
        <v>962</v>
      </c>
      <c r="D605">
        <v>0</v>
      </c>
      <c r="E605" t="s">
        <v>963</v>
      </c>
      <c r="H605" t="str">
        <f t="shared" si="9"/>
        <v>Console output gets written to this file</v>
      </c>
    </row>
    <row r="606" spans="1:24" x14ac:dyDescent="0.25">
      <c r="A606" t="s">
        <v>5253</v>
      </c>
      <c r="C606" t="s">
        <v>964</v>
      </c>
      <c r="D606" t="s">
        <v>25</v>
      </c>
      <c r="E606" t="s">
        <v>965</v>
      </c>
      <c r="H606" t="str">
        <f t="shared" si="9"/>
        <v>Minimum severity level for messages sent to any logging channel: LS_MESSAGE=0, LS_WARNING=1, LS_ASSERT=2, LS_ERROR=3.</v>
      </c>
    </row>
    <row r="607" spans="1:24" x14ac:dyDescent="0.25">
      <c r="A607" t="s">
        <v>5253</v>
      </c>
      <c r="C607" t="s">
        <v>966</v>
      </c>
      <c r="D607">
        <v>0</v>
      </c>
      <c r="E607" t="s">
        <v>967</v>
      </c>
      <c r="H607" t="str">
        <f t="shared" si="9"/>
        <v>Prefix console.log entries with timestamps</v>
      </c>
    </row>
    <row r="608" spans="1:24" x14ac:dyDescent="0.25">
      <c r="A608" t="s">
        <v>5253</v>
      </c>
      <c r="C608" t="s">
        <v>968</v>
      </c>
      <c r="D608" t="s">
        <v>25</v>
      </c>
      <c r="E608" t="s">
        <v>969</v>
      </c>
      <c r="H608" t="str">
        <f t="shared" si="9"/>
        <v>dump the text currently in the console to condumpXX.log</v>
      </c>
    </row>
    <row r="609" spans="1:11" x14ac:dyDescent="0.25">
      <c r="A609" t="s">
        <v>5253</v>
      </c>
      <c r="C609" t="s">
        <v>970</v>
      </c>
      <c r="D609" t="s">
        <v>25</v>
      </c>
      <c r="E609" t="s">
        <v>971</v>
      </c>
      <c r="H609" t="str">
        <f t="shared" si="9"/>
        <v>Connect to specified server.</v>
      </c>
    </row>
    <row r="610" spans="1:11" x14ac:dyDescent="0.25">
      <c r="A610" t="s">
        <v>5251</v>
      </c>
      <c r="C610" t="s">
        <v>972</v>
      </c>
      <c r="D610">
        <v>1</v>
      </c>
      <c r="E610" t="s">
        <v>973</v>
      </c>
      <c r="H610" t="str">
        <f t="shared" si="9"/>
        <v>amount of contribution score added for an assist</v>
      </c>
      <c r="K610" t="s">
        <v>4</v>
      </c>
    </row>
    <row r="611" spans="1:11" x14ac:dyDescent="0.25">
      <c r="A611" t="s">
        <v>5251</v>
      </c>
      <c r="C611" t="s">
        <v>974</v>
      </c>
      <c r="D611">
        <v>3</v>
      </c>
      <c r="E611" t="s">
        <v>975</v>
      </c>
      <c r="H611" t="str">
        <f t="shared" si="9"/>
        <v>amount of contribution score for defusing a bomb while at least one enemy remains alive</v>
      </c>
      <c r="K611" t="s">
        <v>4</v>
      </c>
    </row>
    <row r="612" spans="1:11" x14ac:dyDescent="0.25">
      <c r="A612" t="s">
        <v>5251</v>
      </c>
      <c r="C612" t="s">
        <v>976</v>
      </c>
      <c r="D612">
        <v>1</v>
      </c>
      <c r="E612" t="s">
        <v>977</v>
      </c>
      <c r="H612" t="str">
        <f t="shared" si="9"/>
        <v>amount of contribution score for defusing a bomb after eliminating enemy team</v>
      </c>
      <c r="K612" t="s">
        <v>4</v>
      </c>
    </row>
    <row r="613" spans="1:11" x14ac:dyDescent="0.25">
      <c r="A613" t="s">
        <v>5251</v>
      </c>
      <c r="C613" t="s">
        <v>978</v>
      </c>
      <c r="D613">
        <v>1</v>
      </c>
      <c r="E613" t="s">
        <v>979</v>
      </c>
      <c r="H613" t="str">
        <f t="shared" si="9"/>
        <v>amount of contribution score awarded to bomb planter and terrorists remaining alive if bomb explosion wins the round</v>
      </c>
      <c r="K613" t="s">
        <v>4</v>
      </c>
    </row>
    <row r="614" spans="1:11" x14ac:dyDescent="0.25">
      <c r="A614" t="s">
        <v>5251</v>
      </c>
      <c r="C614" t="s">
        <v>980</v>
      </c>
      <c r="D614">
        <v>2</v>
      </c>
      <c r="E614" t="s">
        <v>981</v>
      </c>
      <c r="H614" t="str">
        <f t="shared" si="9"/>
        <v>amount of contribution score for planting a bomb</v>
      </c>
      <c r="K614" t="s">
        <v>4</v>
      </c>
    </row>
    <row r="615" spans="1:11" x14ac:dyDescent="0.25">
      <c r="A615" t="s">
        <v>5251</v>
      </c>
      <c r="C615" t="s">
        <v>982</v>
      </c>
      <c r="D615">
        <v>0</v>
      </c>
      <c r="E615" t="s">
        <v>983</v>
      </c>
      <c r="H615" t="str">
        <f t="shared" si="9"/>
        <v>amount of contribution score for picking up a cash bundle</v>
      </c>
      <c r="K615" t="s">
        <v>4</v>
      </c>
    </row>
    <row r="616" spans="1:11" x14ac:dyDescent="0.25">
      <c r="A616" t="s">
        <v>5251</v>
      </c>
      <c r="C616" t="s">
        <v>984</v>
      </c>
      <c r="D616">
        <v>0</v>
      </c>
      <c r="E616" t="s">
        <v>985</v>
      </c>
      <c r="H616" t="str">
        <f t="shared" si="9"/>
        <v>amount of contribution score for breaking an item crate</v>
      </c>
      <c r="K616" t="s">
        <v>4</v>
      </c>
    </row>
    <row r="617" spans="1:11" x14ac:dyDescent="0.25">
      <c r="A617" t="s">
        <v>5251</v>
      </c>
      <c r="C617" t="s">
        <v>986</v>
      </c>
      <c r="D617">
        <v>-2</v>
      </c>
      <c r="E617" t="s">
        <v>987</v>
      </c>
      <c r="H617" t="str">
        <f t="shared" si="9"/>
        <v>amount of contribution score for killing a hostage, normally negative</v>
      </c>
      <c r="K617" t="s">
        <v>4</v>
      </c>
    </row>
    <row r="618" spans="1:11" x14ac:dyDescent="0.25">
      <c r="A618" t="s">
        <v>5251</v>
      </c>
      <c r="C618" t="s">
        <v>988</v>
      </c>
      <c r="D618">
        <v>3</v>
      </c>
      <c r="E618" t="s">
        <v>989</v>
      </c>
      <c r="H618" t="str">
        <f t="shared" si="9"/>
        <v>amount of contribution score added to rescuer per hostage rescued</v>
      </c>
      <c r="K618" t="s">
        <v>4</v>
      </c>
    </row>
    <row r="619" spans="1:11" x14ac:dyDescent="0.25">
      <c r="A619" t="s">
        <v>5251</v>
      </c>
      <c r="C619" t="s">
        <v>990</v>
      </c>
      <c r="D619">
        <v>1</v>
      </c>
      <c r="E619" t="s">
        <v>991</v>
      </c>
      <c r="H619" t="str">
        <f t="shared" si="9"/>
        <v>amount of contribution score added to all alive CTs per hostage rescued</v>
      </c>
      <c r="K619" t="s">
        <v>4</v>
      </c>
    </row>
    <row r="620" spans="1:11" x14ac:dyDescent="0.25">
      <c r="A620" t="s">
        <v>5251</v>
      </c>
      <c r="C620" t="s">
        <v>992</v>
      </c>
      <c r="D620">
        <v>2</v>
      </c>
      <c r="E620" t="s">
        <v>993</v>
      </c>
      <c r="H620" t="str">
        <f t="shared" si="9"/>
        <v>amount of contribution score added for a kill</v>
      </c>
      <c r="K620" t="s">
        <v>4</v>
      </c>
    </row>
    <row r="621" spans="1:11" x14ac:dyDescent="0.25">
      <c r="A621" t="s">
        <v>5251</v>
      </c>
      <c r="C621" t="s">
        <v>994</v>
      </c>
      <c r="D621">
        <v>0</v>
      </c>
      <c r="E621" t="s">
        <v>995</v>
      </c>
      <c r="H621" t="str">
        <f t="shared" si="9"/>
        <v>percentage of victim's contribution score to award to their killer as a bonus</v>
      </c>
      <c r="K621" t="s">
        <v>4</v>
      </c>
    </row>
    <row r="622" spans="1:11" x14ac:dyDescent="0.25">
      <c r="A622" t="s">
        <v>5251</v>
      </c>
      <c r="C622" t="s">
        <v>996</v>
      </c>
      <c r="D622">
        <v>3</v>
      </c>
      <c r="E622" t="s">
        <v>997</v>
      </c>
      <c r="H622" t="str">
        <f t="shared" si="9"/>
        <v>amount of contribution score added for an objective related kill</v>
      </c>
      <c r="K622" t="s">
        <v>4</v>
      </c>
    </row>
    <row r="623" spans="1:11" x14ac:dyDescent="0.25">
      <c r="A623" t="s">
        <v>5251</v>
      </c>
      <c r="C623" t="s">
        <v>998</v>
      </c>
      <c r="D623">
        <v>-2</v>
      </c>
      <c r="E623" t="s">
        <v>999</v>
      </c>
      <c r="H623" t="str">
        <f t="shared" si="9"/>
        <v>amount of contribution score for a suicide, normally negative</v>
      </c>
      <c r="K623" t="s">
        <v>4</v>
      </c>
    </row>
    <row r="624" spans="1:11" x14ac:dyDescent="0.25">
      <c r="A624" t="s">
        <v>5251</v>
      </c>
      <c r="C624" t="s">
        <v>1000</v>
      </c>
      <c r="D624">
        <v>-2</v>
      </c>
      <c r="E624" t="s">
        <v>1001</v>
      </c>
      <c r="H624" t="str">
        <f t="shared" si="9"/>
        <v>amount of contribution score for a team kill, normally negative</v>
      </c>
      <c r="K624" t="s">
        <v>4</v>
      </c>
    </row>
    <row r="625" spans="1:25" x14ac:dyDescent="0.25">
      <c r="A625" t="s">
        <v>5251</v>
      </c>
      <c r="C625" t="s">
        <v>1002</v>
      </c>
      <c r="D625">
        <v>0</v>
      </c>
      <c r="E625" t="s">
        <v>1003</v>
      </c>
      <c r="H625" t="str">
        <f t="shared" si="9"/>
        <v>Set CPU frequency monitoring interval in seconds. Zero means disabled.</v>
      </c>
    </row>
    <row r="626" spans="1:25" x14ac:dyDescent="0.25">
      <c r="A626" t="s">
        <v>5251</v>
      </c>
      <c r="C626" t="s">
        <v>1004</v>
      </c>
      <c r="D626" t="s">
        <v>25</v>
      </c>
      <c r="E626" t="s">
        <v>1005</v>
      </c>
      <c r="H626" t="str">
        <f t="shared" si="9"/>
        <v>Cause the engine to crash (Debug!!)</v>
      </c>
    </row>
    <row r="627" spans="1:25" x14ac:dyDescent="0.25">
      <c r="A627" t="s">
        <v>5251</v>
      </c>
      <c r="C627" t="s">
        <v>1006</v>
      </c>
      <c r="D627" t="s">
        <v>25</v>
      </c>
      <c r="H627">
        <f t="shared" si="9"/>
        <v>0</v>
      </c>
    </row>
    <row r="628" spans="1:25" x14ac:dyDescent="0.25">
      <c r="A628" t="s">
        <v>5251</v>
      </c>
      <c r="C628" t="s">
        <v>1007</v>
      </c>
      <c r="D628" t="s">
        <v>25</v>
      </c>
      <c r="E628" t="s">
        <v>1008</v>
      </c>
      <c r="H628" t="str">
        <f t="shared" si="9"/>
        <v>Create a prediction error</v>
      </c>
    </row>
    <row r="629" spans="1:25" x14ac:dyDescent="0.25">
      <c r="A629" t="s">
        <v>5251</v>
      </c>
      <c r="C629" t="s">
        <v>1009</v>
      </c>
      <c r="D629" t="s">
        <v>25</v>
      </c>
      <c r="H629">
        <f t="shared" si="9"/>
        <v>0</v>
      </c>
    </row>
    <row r="630" spans="1:25" x14ac:dyDescent="0.25">
      <c r="A630" t="s">
        <v>5251</v>
      </c>
      <c r="C630" t="s">
        <v>1010</v>
      </c>
      <c r="D630">
        <v>1</v>
      </c>
      <c r="H630">
        <f t="shared" si="9"/>
        <v>0</v>
      </c>
      <c r="I630" t="s">
        <v>2</v>
      </c>
      <c r="X630" t="s">
        <v>17</v>
      </c>
      <c r="Y630" t="s">
        <v>18</v>
      </c>
    </row>
    <row r="631" spans="1:25" x14ac:dyDescent="0.25">
      <c r="A631" t="s">
        <v>5251</v>
      </c>
      <c r="C631" t="s">
        <v>1011</v>
      </c>
      <c r="D631">
        <v>0</v>
      </c>
      <c r="H631">
        <f t="shared" si="9"/>
        <v>0</v>
      </c>
      <c r="K631" t="s">
        <v>4</v>
      </c>
    </row>
    <row r="632" spans="1:25" x14ac:dyDescent="0.25">
      <c r="A632" t="s">
        <v>5251</v>
      </c>
      <c r="C632" t="s">
        <v>1012</v>
      </c>
      <c r="D632">
        <v>2000</v>
      </c>
      <c r="H632">
        <f t="shared" si="9"/>
        <v>0</v>
      </c>
      <c r="K632" t="s">
        <v>4</v>
      </c>
      <c r="L632" t="s">
        <v>5</v>
      </c>
    </row>
    <row r="633" spans="1:25" x14ac:dyDescent="0.25">
      <c r="A633" t="s">
        <v>5251</v>
      </c>
      <c r="C633" t="s">
        <v>1013</v>
      </c>
      <c r="D633" t="s">
        <v>25</v>
      </c>
      <c r="E633" t="s">
        <v>1014</v>
      </c>
      <c r="H633" t="str">
        <f t="shared" si="9"/>
        <v>Marks a player as the VIP</v>
      </c>
    </row>
    <row r="634" spans="1:25" x14ac:dyDescent="0.25">
      <c r="A634" t="s">
        <v>5251</v>
      </c>
      <c r="C634" t="s">
        <v>1015</v>
      </c>
      <c r="D634">
        <v>-2</v>
      </c>
      <c r="E634" t="s">
        <v>1016</v>
      </c>
      <c r="H634" t="str">
        <f t="shared" si="9"/>
        <v>cs_ShowStateTransitions &lt;ent index or -1 for all&gt;. Show player state transitions.</v>
      </c>
      <c r="K634" t="s">
        <v>4</v>
      </c>
      <c r="L634" t="s">
        <v>5</v>
      </c>
    </row>
    <row r="635" spans="1:25" x14ac:dyDescent="0.25">
      <c r="A635" t="s">
        <v>5251</v>
      </c>
      <c r="C635" t="s">
        <v>1017</v>
      </c>
      <c r="D635">
        <v>3</v>
      </c>
      <c r="E635" t="s">
        <v>1018</v>
      </c>
      <c r="H635" t="str">
        <f t="shared" si="9"/>
        <v>Defines how frequently the server notifies clients that a player damaged a friend</v>
      </c>
      <c r="K635" t="s">
        <v>4</v>
      </c>
      <c r="L635" t="s">
        <v>5</v>
      </c>
    </row>
    <row r="636" spans="1:25" x14ac:dyDescent="0.25">
      <c r="A636" t="s">
        <v>5251</v>
      </c>
      <c r="C636" t="s">
        <v>1019</v>
      </c>
      <c r="D636" t="s">
        <v>25</v>
      </c>
      <c r="E636" t="s">
        <v>1020</v>
      </c>
      <c r="H636" t="str">
        <f t="shared" si="9"/>
        <v>Downloads a match via serial code and starts playback</v>
      </c>
    </row>
    <row r="637" spans="1:25" x14ac:dyDescent="0.25">
      <c r="A637" t="s">
        <v>5251</v>
      </c>
      <c r="B637" t="s">
        <v>25</v>
      </c>
      <c r="C637" t="s">
        <v>1021</v>
      </c>
      <c r="D637" t="s">
        <v>25</v>
      </c>
      <c r="H637">
        <f t="shared" si="9"/>
        <v>0</v>
      </c>
    </row>
    <row r="638" spans="1:25" x14ac:dyDescent="0.25">
      <c r="A638" t="s">
        <v>5251</v>
      </c>
      <c r="B638" t="s">
        <v>25</v>
      </c>
      <c r="C638" t="s">
        <v>1022</v>
      </c>
      <c r="D638" t="s">
        <v>25</v>
      </c>
      <c r="H638">
        <f t="shared" si="9"/>
        <v>0</v>
      </c>
    </row>
    <row r="639" spans="1:25" x14ac:dyDescent="0.25">
      <c r="A639" t="s">
        <v>5251</v>
      </c>
      <c r="B639" t="s">
        <v>25</v>
      </c>
      <c r="C639" t="s">
        <v>1023</v>
      </c>
      <c r="D639" t="s">
        <v>25</v>
      </c>
      <c r="H639">
        <f t="shared" si="9"/>
        <v>0</v>
      </c>
    </row>
    <row r="640" spans="1:25" x14ac:dyDescent="0.25">
      <c r="A640" t="s">
        <v>5251</v>
      </c>
      <c r="B640" t="s">
        <v>25</v>
      </c>
      <c r="C640" t="s">
        <v>1024</v>
      </c>
      <c r="D640" t="s">
        <v>25</v>
      </c>
      <c r="H640">
        <f t="shared" si="9"/>
        <v>0</v>
      </c>
    </row>
    <row r="641" spans="1:24" x14ac:dyDescent="0.25">
      <c r="A641" t="s">
        <v>5251</v>
      </c>
      <c r="B641" t="s">
        <v>25</v>
      </c>
      <c r="C641" t="s">
        <v>1025</v>
      </c>
      <c r="D641" t="s">
        <v>25</v>
      </c>
      <c r="H641">
        <f t="shared" si="9"/>
        <v>0</v>
      </c>
    </row>
    <row r="642" spans="1:24" x14ac:dyDescent="0.25">
      <c r="A642" t="s">
        <v>5251</v>
      </c>
      <c r="B642" t="s">
        <v>25</v>
      </c>
      <c r="C642" t="s">
        <v>1026</v>
      </c>
      <c r="D642" t="s">
        <v>25</v>
      </c>
      <c r="H642">
        <f t="shared" si="9"/>
        <v>0</v>
      </c>
    </row>
    <row r="643" spans="1:24" x14ac:dyDescent="0.25">
      <c r="A643" t="s">
        <v>5251</v>
      </c>
      <c r="B643" t="s">
        <v>25</v>
      </c>
      <c r="C643" t="s">
        <v>1027</v>
      </c>
      <c r="D643" t="s">
        <v>25</v>
      </c>
      <c r="H643">
        <f t="shared" ref="H643:H706" si="10">IF(F643="",E643, F643 &amp; " - Original Helptext: " &amp;E643)</f>
        <v>0</v>
      </c>
    </row>
    <row r="644" spans="1:24" x14ac:dyDescent="0.25">
      <c r="A644" t="s">
        <v>5251</v>
      </c>
      <c r="B644" t="s">
        <v>25</v>
      </c>
      <c r="C644" t="s">
        <v>1028</v>
      </c>
      <c r="D644" t="s">
        <v>25</v>
      </c>
      <c r="H644">
        <f t="shared" si="10"/>
        <v>0</v>
      </c>
    </row>
    <row r="645" spans="1:24" x14ac:dyDescent="0.25">
      <c r="A645" t="s">
        <v>5251</v>
      </c>
      <c r="C645" t="s">
        <v>1029</v>
      </c>
      <c r="D645">
        <v>0</v>
      </c>
      <c r="E645" t="s">
        <v>1030</v>
      </c>
      <c r="H645" t="str">
        <f t="shared" si="10"/>
        <v>Bot difficulty for offline play.</v>
      </c>
      <c r="K645" t="s">
        <v>4</v>
      </c>
      <c r="S645" t="s">
        <v>12</v>
      </c>
      <c r="X645" t="s">
        <v>17</v>
      </c>
    </row>
    <row r="646" spans="1:24" x14ac:dyDescent="0.25">
      <c r="A646" t="s">
        <v>5251</v>
      </c>
      <c r="C646" t="s">
        <v>1031</v>
      </c>
      <c r="D646">
        <v>-1</v>
      </c>
      <c r="E646" t="s">
        <v>1032</v>
      </c>
      <c r="H646" t="str">
        <f t="shared" si="10"/>
        <v>Draw the behavior tree of the given bot.</v>
      </c>
      <c r="K646" t="s">
        <v>4</v>
      </c>
      <c r="L646" t="s">
        <v>5</v>
      </c>
      <c r="S646" t="s">
        <v>12</v>
      </c>
    </row>
    <row r="647" spans="1:24" x14ac:dyDescent="0.25">
      <c r="A647" t="s">
        <v>5251</v>
      </c>
      <c r="C647" t="s">
        <v>1033</v>
      </c>
      <c r="D647">
        <v>0</v>
      </c>
      <c r="E647" t="s">
        <v>1034</v>
      </c>
      <c r="H647" t="str">
        <f t="shared" si="10"/>
        <v>Draw hiding spots.</v>
      </c>
      <c r="K647" t="s">
        <v>4</v>
      </c>
      <c r="L647" t="s">
        <v>5</v>
      </c>
      <c r="S647" t="s">
        <v>12</v>
      </c>
    </row>
    <row r="648" spans="1:24" x14ac:dyDescent="0.25">
      <c r="A648" t="s">
        <v>5251</v>
      </c>
      <c r="C648" t="s">
        <v>1035</v>
      </c>
      <c r="D648">
        <v>0</v>
      </c>
      <c r="E648" t="s">
        <v>1036</v>
      </c>
      <c r="H648" t="str">
        <f t="shared" si="10"/>
        <v>Draw the hiding spot the bot will check next.</v>
      </c>
      <c r="K648" t="s">
        <v>4</v>
      </c>
      <c r="L648" t="s">
        <v>5</v>
      </c>
      <c r="S648" t="s">
        <v>12</v>
      </c>
    </row>
    <row r="649" spans="1:24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  <c r="H649" t="str">
        <f t="shared" si="10"/>
        <v>Show the list of convars/concommands.</v>
      </c>
    </row>
    <row r="650" spans="1:24" x14ac:dyDescent="0.25">
      <c r="A650" t="s">
        <v>5251</v>
      </c>
      <c r="C650" t="s">
        <v>1039</v>
      </c>
      <c r="D650" t="s">
        <v>25</v>
      </c>
      <c r="E650" t="s">
        <v>1040</v>
      </c>
      <c r="H650" t="str">
        <f t="shared" si="10"/>
        <v>Add a line to the debug history. Format: &lt;category id&gt; &lt;line&gt;</v>
      </c>
    </row>
    <row r="651" spans="1:24" x14ac:dyDescent="0.25">
      <c r="A651" t="s">
        <v>5251</v>
      </c>
      <c r="C651" t="s">
        <v>1041</v>
      </c>
      <c r="D651" t="s">
        <v>25</v>
      </c>
      <c r="E651" t="s">
        <v>5175</v>
      </c>
      <c r="H651" t="str">
        <f t="shared" si="10"/>
        <v>Dump the debug history to the console. Format: &lt;category id&gt;     Categories:      0: Entity I/O      1: AI Decisions      2: Sc</v>
      </c>
    </row>
    <row r="652" spans="1:24" x14ac:dyDescent="0.25">
      <c r="A652" t="s">
        <v>5251</v>
      </c>
      <c r="C652" t="s">
        <v>1042</v>
      </c>
      <c r="D652" t="s">
        <v>25</v>
      </c>
      <c r="E652" t="s">
        <v>1043</v>
      </c>
      <c r="H652" t="str">
        <f t="shared" si="10"/>
        <v>Create debug box</v>
      </c>
    </row>
    <row r="653" spans="1:24" x14ac:dyDescent="0.25">
      <c r="A653" t="s">
        <v>5251</v>
      </c>
      <c r="C653" t="s">
        <v>1044</v>
      </c>
      <c r="D653" t="s">
        <v>25</v>
      </c>
      <c r="E653" t="s">
        <v>1045</v>
      </c>
      <c r="H653" t="str">
        <f t="shared" si="10"/>
        <v>Create debug boxes for invalid displacements</v>
      </c>
    </row>
    <row r="654" spans="1:24" x14ac:dyDescent="0.25">
      <c r="A654" t="s">
        <v>5251</v>
      </c>
      <c r="C654" t="s">
        <v>1046</v>
      </c>
      <c r="D654">
        <v>0</v>
      </c>
      <c r="H654">
        <f t="shared" si="10"/>
        <v>0</v>
      </c>
      <c r="L654" t="s">
        <v>5</v>
      </c>
      <c r="X654" t="s">
        <v>17</v>
      </c>
    </row>
    <row r="655" spans="1:24" x14ac:dyDescent="0.25">
      <c r="A655" t="s">
        <v>5251</v>
      </c>
      <c r="C655" t="s">
        <v>1047</v>
      </c>
      <c r="D655">
        <v>0</v>
      </c>
      <c r="E655" t="s">
        <v>1048</v>
      </c>
      <c r="H655" t="str">
        <f t="shared" si="10"/>
        <v>Prints CRC for each map lump loaded</v>
      </c>
    </row>
    <row r="656" spans="1:24" x14ac:dyDescent="0.25">
      <c r="A656" t="s">
        <v>5251</v>
      </c>
      <c r="C656" t="s">
        <v>1049</v>
      </c>
      <c r="D656" t="s">
        <v>25</v>
      </c>
      <c r="E656" t="s">
        <v>1050</v>
      </c>
      <c r="H656" t="str">
        <f t="shared" si="10"/>
        <v>Purchase an item by defindex</v>
      </c>
    </row>
    <row r="657" spans="1:24" x14ac:dyDescent="0.25">
      <c r="A657" t="s">
        <v>5251</v>
      </c>
      <c r="C657" t="s">
        <v>1051</v>
      </c>
      <c r="D657">
        <v>0</v>
      </c>
      <c r="H657">
        <f t="shared" si="10"/>
        <v>0</v>
      </c>
      <c r="K657" t="s">
        <v>4</v>
      </c>
      <c r="L657" t="s">
        <v>5</v>
      </c>
    </row>
    <row r="658" spans="1:24" x14ac:dyDescent="0.25">
      <c r="A658" t="s">
        <v>5251</v>
      </c>
      <c r="C658" t="s">
        <v>1052</v>
      </c>
      <c r="D658">
        <v>90</v>
      </c>
      <c r="H658">
        <f t="shared" si="10"/>
        <v>0</v>
      </c>
      <c r="L658" t="s">
        <v>5</v>
      </c>
      <c r="X658" t="s">
        <v>17</v>
      </c>
    </row>
    <row r="659" spans="1:24" x14ac:dyDescent="0.25">
      <c r="A659" t="s">
        <v>5251</v>
      </c>
      <c r="C659" t="s">
        <v>1053</v>
      </c>
      <c r="D659" t="s">
        <v>25</v>
      </c>
      <c r="E659" t="s">
        <v>1054</v>
      </c>
      <c r="H659" t="str">
        <f t="shared" si="10"/>
        <v>Skips to location in demo.</v>
      </c>
    </row>
    <row r="660" spans="1:24" x14ac:dyDescent="0.25">
      <c r="A660" t="s">
        <v>5251</v>
      </c>
      <c r="C660" t="s">
        <v>1055</v>
      </c>
      <c r="D660" t="s">
        <v>25</v>
      </c>
      <c r="E660" t="s">
        <v>1056</v>
      </c>
      <c r="H660" t="str">
        <f t="shared" si="10"/>
        <v>Skips to a tick in demo.</v>
      </c>
    </row>
    <row r="661" spans="1:24" x14ac:dyDescent="0.25">
      <c r="A661" t="s">
        <v>5251</v>
      </c>
      <c r="C661" t="s">
        <v>1057</v>
      </c>
      <c r="D661">
        <v>0</v>
      </c>
      <c r="E661" t="s">
        <v>1058</v>
      </c>
      <c r="H661" t="str">
        <f t="shared" si="10"/>
        <v>If to use demo index. Needs to be set before loading demo.</v>
      </c>
      <c r="I661" t="s">
        <v>2</v>
      </c>
    </row>
    <row r="662" spans="1:24" x14ac:dyDescent="0.25">
      <c r="A662" t="s">
        <v>5251</v>
      </c>
      <c r="C662" t="s">
        <v>1059</v>
      </c>
      <c r="D662">
        <v>500</v>
      </c>
      <c r="E662" t="s">
        <v>1060</v>
      </c>
      <c r="H662" t="str">
        <f t="shared" si="10"/>
        <v>Limits the the count of index files of other (non-current) demos. Needs to be set before loading demo.</v>
      </c>
      <c r="I662" t="s">
        <v>2</v>
      </c>
    </row>
    <row r="663" spans="1:24" x14ac:dyDescent="0.25">
      <c r="A663" t="s">
        <v>5251</v>
      </c>
      <c r="C663" t="s">
        <v>1061</v>
      </c>
      <c r="D663" t="s">
        <v>25</v>
      </c>
      <c r="E663" t="s">
        <v>1062</v>
      </c>
      <c r="H663" t="str">
        <f t="shared" si="10"/>
        <v>Print information about currently playing demo.</v>
      </c>
    </row>
    <row r="664" spans="1:24" x14ac:dyDescent="0.25">
      <c r="A664" t="s">
        <v>5251</v>
      </c>
      <c r="C664" t="s">
        <v>1063</v>
      </c>
      <c r="D664" t="s">
        <v>25</v>
      </c>
      <c r="E664" t="s">
        <v>1064</v>
      </c>
      <c r="H664" t="str">
        <f t="shared" si="10"/>
        <v>List all highlights data for the demo.</v>
      </c>
    </row>
    <row r="665" spans="1:24" x14ac:dyDescent="0.25">
      <c r="A665" t="s">
        <v>5251</v>
      </c>
      <c r="C665" t="s">
        <v>1065</v>
      </c>
      <c r="D665" t="s">
        <v>25</v>
      </c>
      <c r="E665" t="s">
        <v>1066</v>
      </c>
      <c r="H665" t="str">
        <f t="shared" si="10"/>
        <v>List all important ticks in the demo.</v>
      </c>
    </row>
    <row r="666" spans="1:24" x14ac:dyDescent="0.25">
      <c r="A666" t="s">
        <v>5251</v>
      </c>
      <c r="C666" t="s">
        <v>1067</v>
      </c>
      <c r="D666" t="s">
        <v>25</v>
      </c>
      <c r="E666" t="s">
        <v>1068</v>
      </c>
      <c r="H666" t="str">
        <f t="shared" si="10"/>
        <v>Pauses demo playback.</v>
      </c>
    </row>
    <row r="667" spans="1:24" x14ac:dyDescent="0.25">
      <c r="A667" t="s">
        <v>5251</v>
      </c>
      <c r="C667" t="s">
        <v>1069</v>
      </c>
      <c r="D667">
        <v>1</v>
      </c>
      <c r="E667" t="s">
        <v>1070</v>
      </c>
      <c r="H667" t="str">
        <f t="shared" si="10"/>
        <v>Record commands typed at console into .dem files.</v>
      </c>
      <c r="L667" t="s">
        <v>5</v>
      </c>
    </row>
    <row r="668" spans="1:24" x14ac:dyDescent="0.25">
      <c r="A668" t="s">
        <v>5251</v>
      </c>
      <c r="C668" t="s">
        <v>1071</v>
      </c>
      <c r="D668" t="s">
        <v>25</v>
      </c>
      <c r="E668" t="s">
        <v>1072</v>
      </c>
      <c r="H668" t="str">
        <f t="shared" si="10"/>
        <v>Resumes demo playback.</v>
      </c>
    </row>
    <row r="669" spans="1:24" x14ac:dyDescent="0.25">
      <c r="A669" t="s">
        <v>5251</v>
      </c>
      <c r="C669" t="s">
        <v>1073</v>
      </c>
      <c r="D669">
        <v>0</v>
      </c>
      <c r="H669">
        <f t="shared" si="10"/>
        <v>0</v>
      </c>
    </row>
    <row r="670" spans="1:24" x14ac:dyDescent="0.25">
      <c r="A670" t="s">
        <v>5251</v>
      </c>
      <c r="C670" t="s">
        <v>1074</v>
      </c>
      <c r="D670" t="s">
        <v>25</v>
      </c>
      <c r="E670" t="s">
        <v>1075</v>
      </c>
      <c r="H670" t="str">
        <f t="shared" si="10"/>
        <v>Sets demo replay speed.</v>
      </c>
    </row>
    <row r="671" spans="1:24" x14ac:dyDescent="0.25">
      <c r="A671" t="s">
        <v>5251</v>
      </c>
      <c r="C671" t="s">
        <v>1076</v>
      </c>
      <c r="D671" t="s">
        <v>25</v>
      </c>
      <c r="E671" t="s">
        <v>1077</v>
      </c>
      <c r="H671" t="str">
        <f t="shared" si="10"/>
        <v>Toggles demo playback.</v>
      </c>
    </row>
    <row r="672" spans="1:24" x14ac:dyDescent="0.25">
      <c r="A672" t="s">
        <v>5251</v>
      </c>
      <c r="C672" t="s">
        <v>1078</v>
      </c>
      <c r="D672" t="s">
        <v>25</v>
      </c>
      <c r="E672" t="s">
        <v>1079</v>
      </c>
      <c r="H672" t="str">
        <f t="shared" si="10"/>
        <v>Print demo sequence list.</v>
      </c>
    </row>
    <row r="673" spans="1:12" x14ac:dyDescent="0.25">
      <c r="A673" t="s">
        <v>5251</v>
      </c>
      <c r="C673" t="s">
        <v>1080</v>
      </c>
      <c r="D673" t="s">
        <v>25</v>
      </c>
      <c r="E673" t="s">
        <v>1081</v>
      </c>
      <c r="H673" t="str">
        <f t="shared" si="10"/>
        <v>Demo demo file sequence.</v>
      </c>
    </row>
    <row r="674" spans="1:12" x14ac:dyDescent="0.25">
      <c r="A674" t="s">
        <v>5251</v>
      </c>
      <c r="C674" t="s">
        <v>1082</v>
      </c>
      <c r="D674" t="s">
        <v>25</v>
      </c>
      <c r="E674" t="s">
        <v>1083</v>
      </c>
      <c r="H674" t="str">
        <f t="shared" si="10"/>
        <v>Show/hide the demo player UI.</v>
      </c>
    </row>
    <row r="675" spans="1:12" x14ac:dyDescent="0.25">
      <c r="A675" t="s">
        <v>5251</v>
      </c>
      <c r="C675" t="s">
        <v>1084</v>
      </c>
      <c r="D675">
        <v>0</v>
      </c>
      <c r="E675" t="s">
        <v>1085</v>
      </c>
      <c r="H675" t="str">
        <f t="shared" si="10"/>
        <v>Set developer message level</v>
      </c>
    </row>
    <row r="676" spans="1:12" x14ac:dyDescent="0.25">
      <c r="A676" t="s">
        <v>5251</v>
      </c>
      <c r="C676" t="s">
        <v>1086</v>
      </c>
      <c r="D676" t="s">
        <v>25</v>
      </c>
      <c r="E676" t="s">
        <v>1087</v>
      </c>
      <c r="H676" t="str">
        <f t="shared" si="10"/>
        <v>Used by the devshots system to go to the next map in the devshots maplist.</v>
      </c>
    </row>
    <row r="677" spans="1:12" x14ac:dyDescent="0.25">
      <c r="A677" t="s">
        <v>5251</v>
      </c>
      <c r="C677" t="s">
        <v>1088</v>
      </c>
      <c r="D677" t="s">
        <v>25</v>
      </c>
      <c r="E677" t="s">
        <v>1089</v>
      </c>
      <c r="H677" t="str">
        <f t="shared" si="10"/>
        <v>Used by the -makedevshots system to take a screenshot. For taking your own screenshots, use the 'screenshot' command instead.</v>
      </c>
    </row>
    <row r="678" spans="1:12" x14ac:dyDescent="0.25">
      <c r="A678" t="s">
        <v>5251</v>
      </c>
      <c r="C678" t="s">
        <v>1090</v>
      </c>
      <c r="D678" t="s">
        <v>25</v>
      </c>
      <c r="E678" t="s">
        <v>1091</v>
      </c>
      <c r="H678" t="str">
        <f t="shared" si="10"/>
        <v>Show all convars which are not at their default values.</v>
      </c>
    </row>
    <row r="679" spans="1:12" x14ac:dyDescent="0.25">
      <c r="A679" t="s">
        <v>5253</v>
      </c>
      <c r="C679" t="s">
        <v>1092</v>
      </c>
      <c r="D679" t="s">
        <v>25</v>
      </c>
      <c r="E679" t="s">
        <v>1093</v>
      </c>
      <c r="H679" t="str">
        <f t="shared" si="10"/>
        <v>Disconnect game from server.</v>
      </c>
    </row>
    <row r="680" spans="1:12" x14ac:dyDescent="0.25">
      <c r="A680" t="s">
        <v>5251</v>
      </c>
      <c r="C680" t="s">
        <v>1094</v>
      </c>
      <c r="D680" t="s">
        <v>25</v>
      </c>
      <c r="E680" t="s">
        <v>1095</v>
      </c>
      <c r="H680" t="str">
        <f t="shared" si="10"/>
        <v>List all collideable displacements</v>
      </c>
    </row>
    <row r="681" spans="1:12" x14ac:dyDescent="0.25">
      <c r="A681" t="s">
        <v>5251</v>
      </c>
      <c r="C681" t="s">
        <v>1096</v>
      </c>
      <c r="D681" t="s">
        <v>25</v>
      </c>
      <c r="E681" t="s">
        <v>1097</v>
      </c>
      <c r="H681" t="str">
        <f t="shared" si="10"/>
        <v>Displays how much time has elapsed since the game started</v>
      </c>
    </row>
    <row r="682" spans="1:12" x14ac:dyDescent="0.25">
      <c r="A682" t="s">
        <v>5251</v>
      </c>
      <c r="C682" t="s">
        <v>1098</v>
      </c>
      <c r="D682">
        <v>0</v>
      </c>
      <c r="H682">
        <f t="shared" si="10"/>
        <v>0</v>
      </c>
      <c r="L682" t="s">
        <v>5</v>
      </c>
    </row>
    <row r="683" spans="1:12" x14ac:dyDescent="0.25">
      <c r="A683" t="s">
        <v>5251</v>
      </c>
      <c r="C683" t="s">
        <v>1099</v>
      </c>
      <c r="D683" t="s">
        <v>25</v>
      </c>
      <c r="E683" t="s">
        <v>1100</v>
      </c>
      <c r="H683" t="str">
        <f t="shared" si="10"/>
        <v>Creates a dlight in front of the player</v>
      </c>
    </row>
    <row r="684" spans="1:12" x14ac:dyDescent="0.25">
      <c r="A684" t="s">
        <v>5251</v>
      </c>
      <c r="C684" t="s">
        <v>1101</v>
      </c>
      <c r="D684" t="s">
        <v>25</v>
      </c>
      <c r="H684">
        <f t="shared" si="10"/>
        <v>0</v>
      </c>
    </row>
    <row r="685" spans="1:12" x14ac:dyDescent="0.25">
      <c r="A685" t="s">
        <v>5251</v>
      </c>
      <c r="C685" t="s">
        <v>1102</v>
      </c>
      <c r="D685" t="s">
        <v>25</v>
      </c>
      <c r="E685" t="s">
        <v>1103</v>
      </c>
      <c r="H685" t="str">
        <f t="shared" si="10"/>
        <v>Turns random weapons in deathmatch on/off</v>
      </c>
    </row>
    <row r="686" spans="1:12" x14ac:dyDescent="0.25">
      <c r="A686" t="s">
        <v>5251</v>
      </c>
      <c r="C686" t="s">
        <v>1104</v>
      </c>
      <c r="D686" t="s">
        <v>25</v>
      </c>
      <c r="E686" t="s">
        <v>5176</v>
      </c>
      <c r="H686" t="str">
        <f t="shared" si="10"/>
        <v>Draws a cross at the given location 	Arguments: x y z</v>
      </c>
    </row>
    <row r="687" spans="1:12" x14ac:dyDescent="0.25">
      <c r="A687" t="s">
        <v>5251</v>
      </c>
      <c r="C687" t="s">
        <v>1105</v>
      </c>
      <c r="D687" t="s">
        <v>25</v>
      </c>
      <c r="E687" t="s">
        <v>5177</v>
      </c>
      <c r="H687" t="str">
        <f t="shared" si="10"/>
        <v>Draws line between two 3D Points. 	Green if no collision 	Red is collides with something 	Arguments: x1 y1 z1 x2 y2 z2</v>
      </c>
    </row>
    <row r="688" spans="1:12" x14ac:dyDescent="0.25">
      <c r="A688" t="s">
        <v>5251</v>
      </c>
      <c r="C688" t="s">
        <v>1106</v>
      </c>
      <c r="D688" t="s">
        <v>25</v>
      </c>
      <c r="E688" t="s">
        <v>1107</v>
      </c>
      <c r="H688" t="str">
        <f t="shared" si="10"/>
        <v>Draws the overview map</v>
      </c>
    </row>
    <row r="689" spans="1:22" x14ac:dyDescent="0.25">
      <c r="A689" t="s">
        <v>5251</v>
      </c>
      <c r="C689" t="s">
        <v>1108</v>
      </c>
      <c r="D689" t="s">
        <v>25</v>
      </c>
      <c r="E689" t="s">
        <v>1109</v>
      </c>
      <c r="H689" t="str">
        <f t="shared" si="10"/>
        <v>Draws HUD radar</v>
      </c>
    </row>
    <row r="690" spans="1:22" x14ac:dyDescent="0.25">
      <c r="A690" t="s">
        <v>5251</v>
      </c>
      <c r="C690" t="s">
        <v>1110</v>
      </c>
      <c r="D690" t="s">
        <v>25</v>
      </c>
      <c r="E690" t="s">
        <v>1111</v>
      </c>
      <c r="H690" t="str">
        <f t="shared" si="10"/>
        <v>Re-reads web api auth key and subscribed file lists from disk and downloads the latest updates of those files from steam</v>
      </c>
    </row>
    <row r="691" spans="1:22" x14ac:dyDescent="0.25">
      <c r="A691" t="s">
        <v>5251</v>
      </c>
      <c r="C691" t="s">
        <v>1112</v>
      </c>
      <c r="D691">
        <v>74</v>
      </c>
      <c r="H691">
        <f t="shared" si="10"/>
        <v>0</v>
      </c>
      <c r="L691" t="s">
        <v>5</v>
      </c>
      <c r="T691" t="s">
        <v>13</v>
      </c>
    </row>
    <row r="692" spans="1:22" x14ac:dyDescent="0.25">
      <c r="A692" t="s">
        <v>5251</v>
      </c>
      <c r="C692" t="s">
        <v>1113</v>
      </c>
      <c r="D692">
        <v>0</v>
      </c>
      <c r="H692">
        <f t="shared" si="10"/>
        <v>0</v>
      </c>
      <c r="L692" t="s">
        <v>5</v>
      </c>
      <c r="T692" t="s">
        <v>13</v>
      </c>
    </row>
    <row r="693" spans="1:22" x14ac:dyDescent="0.25">
      <c r="A693" t="s">
        <v>5251</v>
      </c>
      <c r="C693" t="s">
        <v>1114</v>
      </c>
      <c r="D693">
        <v>1440</v>
      </c>
      <c r="H693">
        <f t="shared" si="10"/>
        <v>0</v>
      </c>
      <c r="L693" t="s">
        <v>5</v>
      </c>
      <c r="T693" t="s">
        <v>13</v>
      </c>
    </row>
    <row r="694" spans="1:22" x14ac:dyDescent="0.25">
      <c r="A694" t="s">
        <v>5251</v>
      </c>
      <c r="C694" t="s">
        <v>1115</v>
      </c>
      <c r="D694">
        <v>0</v>
      </c>
      <c r="H694">
        <f t="shared" si="10"/>
        <v>0</v>
      </c>
      <c r="L694" t="s">
        <v>5</v>
      </c>
      <c r="T694" t="s">
        <v>13</v>
      </c>
    </row>
    <row r="695" spans="1:22" x14ac:dyDescent="0.25">
      <c r="A695" t="s">
        <v>5251</v>
      </c>
      <c r="C695" t="s">
        <v>1116</v>
      </c>
      <c r="D695">
        <v>0</v>
      </c>
      <c r="H695">
        <f t="shared" si="10"/>
        <v>0</v>
      </c>
      <c r="I695" t="s">
        <v>2</v>
      </c>
    </row>
    <row r="696" spans="1:22" x14ac:dyDescent="0.25">
      <c r="A696" t="s">
        <v>5251</v>
      </c>
      <c r="C696" t="s">
        <v>1117</v>
      </c>
      <c r="D696">
        <v>0</v>
      </c>
      <c r="H696">
        <f t="shared" si="10"/>
        <v>0</v>
      </c>
      <c r="L696" t="s">
        <v>5</v>
      </c>
      <c r="T696" t="s">
        <v>13</v>
      </c>
    </row>
    <row r="697" spans="1:22" x14ac:dyDescent="0.25">
      <c r="A697" t="s">
        <v>5251</v>
      </c>
      <c r="C697" t="s">
        <v>1118</v>
      </c>
      <c r="D697">
        <v>0</v>
      </c>
      <c r="H697">
        <f t="shared" si="10"/>
        <v>0</v>
      </c>
      <c r="L697" t="s">
        <v>5</v>
      </c>
      <c r="T697" t="s">
        <v>13</v>
      </c>
    </row>
    <row r="698" spans="1:22" x14ac:dyDescent="0.25">
      <c r="A698" t="s">
        <v>5251</v>
      </c>
      <c r="C698" t="s">
        <v>1119</v>
      </c>
      <c r="D698">
        <v>0</v>
      </c>
      <c r="H698">
        <f t="shared" si="10"/>
        <v>0</v>
      </c>
      <c r="L698" t="s">
        <v>5</v>
      </c>
    </row>
    <row r="699" spans="1:22" x14ac:dyDescent="0.25">
      <c r="A699" t="s">
        <v>5251</v>
      </c>
      <c r="C699" t="s">
        <v>1120</v>
      </c>
      <c r="D699">
        <v>0</v>
      </c>
      <c r="H699">
        <f t="shared" si="10"/>
        <v>0</v>
      </c>
      <c r="T699" t="s">
        <v>13</v>
      </c>
      <c r="V699" t="s">
        <v>15</v>
      </c>
    </row>
    <row r="700" spans="1:22" x14ac:dyDescent="0.25">
      <c r="A700" t="s">
        <v>5251</v>
      </c>
      <c r="C700" t="s">
        <v>1121</v>
      </c>
      <c r="D700" t="s">
        <v>25</v>
      </c>
      <c r="H700">
        <f t="shared" si="10"/>
        <v>0</v>
      </c>
    </row>
    <row r="701" spans="1:22" x14ac:dyDescent="0.25">
      <c r="A701" t="s">
        <v>5251</v>
      </c>
      <c r="C701" t="s">
        <v>1122</v>
      </c>
      <c r="D701">
        <v>0</v>
      </c>
      <c r="H701">
        <f t="shared" si="10"/>
        <v>0</v>
      </c>
      <c r="L701" t="s">
        <v>5</v>
      </c>
    </row>
    <row r="702" spans="1:22" x14ac:dyDescent="0.25">
      <c r="A702" t="s">
        <v>5251</v>
      </c>
      <c r="C702" t="s">
        <v>1123</v>
      </c>
      <c r="D702">
        <v>0</v>
      </c>
      <c r="H702">
        <f t="shared" si="10"/>
        <v>0</v>
      </c>
      <c r="L702" t="s">
        <v>5</v>
      </c>
    </row>
    <row r="703" spans="1:22" x14ac:dyDescent="0.25">
      <c r="A703" t="s">
        <v>5251</v>
      </c>
      <c r="C703" t="s">
        <v>1124</v>
      </c>
      <c r="D703" t="s">
        <v>25</v>
      </c>
      <c r="E703" t="s">
        <v>1125</v>
      </c>
      <c r="H703" t="str">
        <f t="shared" si="10"/>
        <v>Write out the datatable instrumentation files (you must run with -dti for this to work).</v>
      </c>
    </row>
    <row r="704" spans="1:22" x14ac:dyDescent="0.25">
      <c r="A704" t="s">
        <v>5251</v>
      </c>
      <c r="B704" t="s">
        <v>25</v>
      </c>
      <c r="C704" t="s">
        <v>1126</v>
      </c>
      <c r="D704" t="s">
        <v>25</v>
      </c>
      <c r="H704">
        <f t="shared" si="10"/>
        <v>0</v>
      </c>
    </row>
    <row r="705" spans="1:8" x14ac:dyDescent="0.25">
      <c r="A705" t="s">
        <v>5251</v>
      </c>
      <c r="B705" t="s">
        <v>25</v>
      </c>
      <c r="C705" t="s">
        <v>1127</v>
      </c>
      <c r="D705" t="s">
        <v>25</v>
      </c>
      <c r="H705">
        <f t="shared" si="10"/>
        <v>0</v>
      </c>
    </row>
    <row r="706" spans="1:8" x14ac:dyDescent="0.25">
      <c r="A706" t="s">
        <v>5251</v>
      </c>
      <c r="C706" t="s">
        <v>1128</v>
      </c>
      <c r="D706" t="s">
        <v>25</v>
      </c>
      <c r="E706" t="s">
        <v>1129</v>
      </c>
      <c r="H706" t="str">
        <f t="shared" si="10"/>
        <v>Print sizeof(entclass)</v>
      </c>
    </row>
    <row r="707" spans="1:8" x14ac:dyDescent="0.25">
      <c r="A707" t="s">
        <v>5251</v>
      </c>
      <c r="C707" t="s">
        <v>1130</v>
      </c>
      <c r="D707" t="s">
        <v>25</v>
      </c>
      <c r="E707" t="s">
        <v>1131</v>
      </c>
      <c r="H707" t="str">
        <f t="shared" ref="H707:H770" si="11">IF(F707="",E707, F707 &amp; " - Original Helptext: " &amp;E707)</f>
        <v>Dump all global entities/states</v>
      </c>
    </row>
    <row r="708" spans="1:8" x14ac:dyDescent="0.25">
      <c r="A708" t="s">
        <v>5251</v>
      </c>
      <c r="C708" t="s">
        <v>1132</v>
      </c>
      <c r="D708" t="s">
        <v>25</v>
      </c>
      <c r="E708" t="s">
        <v>1133</v>
      </c>
      <c r="H708" t="str">
        <f t="shared" si="11"/>
        <v>Prints out all valid panorama CSS properties and their documentation</v>
      </c>
    </row>
    <row r="709" spans="1:8" x14ac:dyDescent="0.25">
      <c r="A709" t="s">
        <v>5251</v>
      </c>
      <c r="C709" t="s">
        <v>1134</v>
      </c>
      <c r="D709" t="s">
        <v>25</v>
      </c>
      <c r="E709" t="s">
        <v>1135</v>
      </c>
      <c r="H709" t="str">
        <f t="shared" si="11"/>
        <v>Prints out mem stats of all valid panorama CSS properties</v>
      </c>
    </row>
    <row r="710" spans="1:8" x14ac:dyDescent="0.25">
      <c r="A710" t="s">
        <v>5251</v>
      </c>
      <c r="C710" t="s">
        <v>1136</v>
      </c>
      <c r="D710" t="s">
        <v>25</v>
      </c>
      <c r="E710" t="s">
        <v>1137</v>
      </c>
      <c r="H710" t="str">
        <f t="shared" si="11"/>
        <v>print panorama event types and their documentation</v>
      </c>
    </row>
    <row r="711" spans="1:8" x14ac:dyDescent="0.25">
      <c r="A711" t="s">
        <v>5251</v>
      </c>
      <c r="C711" t="s">
        <v>1138</v>
      </c>
      <c r="D711" t="s">
        <v>25</v>
      </c>
      <c r="E711" t="s">
        <v>1139</v>
      </c>
      <c r="H711" t="str">
        <f t="shared" si="11"/>
        <v>print panorama js scopes, such as classes, and their associated methods. (wiki table format)</v>
      </c>
    </row>
    <row r="712" spans="1:8" x14ac:dyDescent="0.25">
      <c r="A712" t="s">
        <v>5251</v>
      </c>
      <c r="C712" t="s">
        <v>1140</v>
      </c>
      <c r="D712" t="s">
        <v>25</v>
      </c>
      <c r="H712">
        <f t="shared" si="11"/>
        <v>0</v>
      </c>
    </row>
    <row r="713" spans="1:8" x14ac:dyDescent="0.25">
      <c r="A713" t="s">
        <v>5251</v>
      </c>
      <c r="C713" t="s">
        <v>1141</v>
      </c>
      <c r="D713" t="s">
        <v>25</v>
      </c>
      <c r="E713" t="s">
        <v>1142</v>
      </c>
      <c r="H713" t="str">
        <f t="shared" si="11"/>
        <v>Dump the list of particles loaded.</v>
      </c>
    </row>
    <row r="714" spans="1:8" x14ac:dyDescent="0.25">
      <c r="A714" t="s">
        <v>5251</v>
      </c>
      <c r="C714" t="s">
        <v>1143</v>
      </c>
      <c r="D714" t="s">
        <v>25</v>
      </c>
      <c r="E714" t="s">
        <v>1144</v>
      </c>
      <c r="H714" t="str">
        <f t="shared" si="11"/>
        <v>Lists all entity factory names.</v>
      </c>
    </row>
    <row r="715" spans="1:8" x14ac:dyDescent="0.25">
      <c r="A715" t="s">
        <v>5251</v>
      </c>
      <c r="C715" t="s">
        <v>1145</v>
      </c>
      <c r="D715" t="s">
        <v>25</v>
      </c>
      <c r="E715" t="s">
        <v>1146</v>
      </c>
      <c r="H715" t="str">
        <f t="shared" si="11"/>
        <v>Dump the contents of the Entity I/O event queue to the console.</v>
      </c>
    </row>
    <row r="716" spans="1:8" x14ac:dyDescent="0.25">
      <c r="A716" t="s">
        <v>5251</v>
      </c>
      <c r="C716" t="s">
        <v>1147</v>
      </c>
      <c r="D716" t="s">
        <v>25</v>
      </c>
      <c r="E716" t="s">
        <v>1148</v>
      </c>
      <c r="H716" t="str">
        <f t="shared" si="11"/>
        <v>Dump the contents of the game string table to the console.</v>
      </c>
    </row>
    <row r="717" spans="1:8" x14ac:dyDescent="0.25">
      <c r="A717" t="s">
        <v>5251</v>
      </c>
      <c r="C717" t="s">
        <v>1149</v>
      </c>
      <c r="D717" t="s">
        <v>25</v>
      </c>
      <c r="E717" t="s">
        <v>1150</v>
      </c>
      <c r="H717" t="str">
        <f t="shared" si="11"/>
        <v>Print string tables to console.</v>
      </c>
    </row>
    <row r="718" spans="1:8" x14ac:dyDescent="0.25">
      <c r="A718" t="s">
        <v>5251</v>
      </c>
      <c r="C718" t="s">
        <v>1151</v>
      </c>
      <c r="D718" t="s">
        <v>25</v>
      </c>
      <c r="E718" t="s">
        <v>1152</v>
      </c>
      <c r="H718" t="str">
        <f t="shared" si="11"/>
        <v>Clear all DZ teams</v>
      </c>
    </row>
    <row r="719" spans="1:8" x14ac:dyDescent="0.25">
      <c r="A719" t="s">
        <v>5251</v>
      </c>
      <c r="C719" t="s">
        <v>1153</v>
      </c>
      <c r="D719" t="s">
        <v>25</v>
      </c>
      <c r="E719" t="s">
        <v>1154</v>
      </c>
      <c r="H719" t="str">
        <f t="shared" si="11"/>
        <v>dz_jointeam team# [userid#|name] - Join DZ team N (0 to leave your team).  Server admins can assign other players to teams.</v>
      </c>
    </row>
    <row r="720" spans="1:8" x14ac:dyDescent="0.25">
      <c r="A720" t="s">
        <v>5251</v>
      </c>
      <c r="C720" t="s">
        <v>1155</v>
      </c>
      <c r="D720" t="s">
        <v>25</v>
      </c>
      <c r="E720" t="s">
        <v>1156</v>
      </c>
      <c r="H720" t="str">
        <f t="shared" si="11"/>
        <v>Shuffle all teams for Danger Zone</v>
      </c>
    </row>
    <row r="721" spans="1:24" x14ac:dyDescent="0.25">
      <c r="A721" t="s">
        <v>5251</v>
      </c>
      <c r="C721" t="s">
        <v>1157</v>
      </c>
      <c r="D721" t="s">
        <v>25</v>
      </c>
      <c r="H721">
        <f t="shared" si="11"/>
        <v>0</v>
      </c>
    </row>
    <row r="722" spans="1:24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  <c r="H722" t="str">
        <f t="shared" si="11"/>
        <v>Echo text to console.</v>
      </c>
    </row>
    <row r="723" spans="1:24" x14ac:dyDescent="0.25">
      <c r="A723" t="s">
        <v>5251</v>
      </c>
      <c r="C723" t="s">
        <v>1160</v>
      </c>
      <c r="D723" t="s">
        <v>25</v>
      </c>
      <c r="E723" t="s">
        <v>1161</v>
      </c>
      <c r="H723" t="str">
        <f t="shared" si="11"/>
        <v>Renders and saves images for all models in a collection.</v>
      </c>
    </row>
    <row r="724" spans="1:24" x14ac:dyDescent="0.25">
      <c r="A724" t="s">
        <v>5251</v>
      </c>
      <c r="C724" t="s">
        <v>1162</v>
      </c>
      <c r="D724" t="s">
        <v>25</v>
      </c>
      <c r="E724" t="s">
        <v>1163</v>
      </c>
      <c r="H724" t="str">
        <f t="shared" si="11"/>
        <v>clear the local inventory images (they will regenerate)</v>
      </c>
    </row>
    <row r="725" spans="1:24" x14ac:dyDescent="0.25">
      <c r="A725" t="s">
        <v>5251</v>
      </c>
      <c r="C725" t="s">
        <v>1164</v>
      </c>
      <c r="D725" t="s">
        <v>25</v>
      </c>
      <c r="E725" t="s">
        <v>1165</v>
      </c>
      <c r="H725" t="str">
        <f t="shared" si="11"/>
        <v>Lists the item definitions that have a specified tag.</v>
      </c>
    </row>
    <row r="726" spans="1:24" x14ac:dyDescent="0.25">
      <c r="A726" t="s">
        <v>5251</v>
      </c>
      <c r="C726" t="s">
        <v>1166</v>
      </c>
      <c r="D726" t="s">
        <v>25</v>
      </c>
      <c r="E726" t="s">
        <v>1167</v>
      </c>
      <c r="H726" t="str">
        <f t="shared" si="11"/>
        <v>Edit a recorded demo file (.dem ).</v>
      </c>
    </row>
    <row r="727" spans="1:24" x14ac:dyDescent="0.25">
      <c r="A727" t="s">
        <v>5251</v>
      </c>
      <c r="C727" t="s">
        <v>1168</v>
      </c>
      <c r="D727" t="s">
        <v>25</v>
      </c>
      <c r="E727" t="s">
        <v>1169</v>
      </c>
      <c r="H727" t="str">
        <f t="shared" si="11"/>
        <v>Disables the simulation and returns focus to the editor</v>
      </c>
    </row>
    <row r="728" spans="1:24" x14ac:dyDescent="0.25">
      <c r="A728" t="s">
        <v>5251</v>
      </c>
      <c r="C728" t="s">
        <v>1170</v>
      </c>
      <c r="D728">
        <v>1</v>
      </c>
      <c r="E728" t="s">
        <v>1171</v>
      </c>
      <c r="H728" t="str">
        <f t="shared" si="11"/>
        <v>Enable rendering of debug overlays</v>
      </c>
      <c r="K728" t="s">
        <v>4</v>
      </c>
      <c r="L728" t="s">
        <v>5</v>
      </c>
    </row>
    <row r="729" spans="1:24" x14ac:dyDescent="0.25">
      <c r="A729" t="s">
        <v>5251</v>
      </c>
      <c r="C729" t="s">
        <v>1172</v>
      </c>
      <c r="D729">
        <v>1</v>
      </c>
      <c r="E729" t="s">
        <v>1173</v>
      </c>
      <c r="H729" t="str">
        <f t="shared" si="11"/>
        <v>Turns Denormals-Are-Zeroes and Flush-to-Zero on or off</v>
      </c>
    </row>
    <row r="730" spans="1:24" x14ac:dyDescent="0.25">
      <c r="A730" t="s">
        <v>5251</v>
      </c>
      <c r="C730" t="s">
        <v>1174</v>
      </c>
      <c r="D730">
        <v>0</v>
      </c>
      <c r="E730" t="s">
        <v>1175</v>
      </c>
      <c r="H730" t="str">
        <f t="shared" si="11"/>
        <v>Render skeletons in wireframe</v>
      </c>
      <c r="L730" t="s">
        <v>5</v>
      </c>
      <c r="X730" t="s">
        <v>17</v>
      </c>
    </row>
    <row r="731" spans="1:24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  <c r="H731" t="str">
        <f t="shared" si="11"/>
        <v>Votes for the next map at the end of the match</v>
      </c>
    </row>
    <row r="732" spans="1:24" x14ac:dyDescent="0.25">
      <c r="A732" t="s">
        <v>5251</v>
      </c>
      <c r="C732" t="s">
        <v>1178</v>
      </c>
      <c r="D732" t="s">
        <v>25</v>
      </c>
      <c r="E732" t="s">
        <v>1179</v>
      </c>
      <c r="H732" t="str">
        <f t="shared" si="11"/>
        <v>Stop recording movie frames.</v>
      </c>
    </row>
    <row r="733" spans="1:24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  <c r="H733" t="str">
        <f t="shared" si="11"/>
        <v>End the current round.</v>
      </c>
    </row>
    <row r="734" spans="1:24" x14ac:dyDescent="0.25">
      <c r="A734" t="s">
        <v>5251</v>
      </c>
      <c r="C734" t="s">
        <v>1182</v>
      </c>
      <c r="D734">
        <v>50</v>
      </c>
      <c r="H734">
        <f t="shared" si="11"/>
        <v>0</v>
      </c>
      <c r="I734" t="s">
        <v>2</v>
      </c>
    </row>
    <row r="735" spans="1:24" x14ac:dyDescent="0.25">
      <c r="A735" t="s">
        <v>5251</v>
      </c>
      <c r="C735" t="s">
        <v>1183</v>
      </c>
      <c r="D735" t="s">
        <v>25</v>
      </c>
      <c r="E735" t="s">
        <v>5178</v>
      </c>
      <c r="H735" t="str">
        <f t="shared" si="11"/>
        <v>Displays the total bounding box for the given entity(s) in green.  Some entites will also display entity specific overlays. 	Ar</v>
      </c>
    </row>
    <row r="736" spans="1:24" x14ac:dyDescent="0.25">
      <c r="A736" t="s">
        <v>5251</v>
      </c>
      <c r="C736" t="s">
        <v>1184</v>
      </c>
      <c r="D736" t="s">
        <v>25</v>
      </c>
      <c r="E736" t="s">
        <v>5179</v>
      </c>
      <c r="H736" t="str">
        <f t="shared" si="11"/>
        <v>Displays the attachment points on an entity. 	Arguments:   	{entity_name} / {class_name} / no argument picks what player is loo</v>
      </c>
    </row>
    <row r="737" spans="1:12" x14ac:dyDescent="0.25">
      <c r="A737" t="s">
        <v>5251</v>
      </c>
      <c r="C737" t="s">
        <v>1185</v>
      </c>
      <c r="D737" t="s">
        <v>25</v>
      </c>
      <c r="E737" t="s">
        <v>5180</v>
      </c>
      <c r="H737" t="str">
        <f t="shared" si="11"/>
        <v>Displays the entity's autoaim radius. 	Arguments:   	{entity_name} / {class_name} / no argument picks what player is looking at</v>
      </c>
    </row>
    <row r="738" spans="1:12" x14ac:dyDescent="0.25">
      <c r="A738" t="s">
        <v>5251</v>
      </c>
      <c r="C738" t="s">
        <v>1186</v>
      </c>
      <c r="D738" t="s">
        <v>25</v>
      </c>
      <c r="E738" t="s">
        <v>1187</v>
      </c>
      <c r="H738" t="str">
        <f t="shared" si="11"/>
        <v>Displays the movement bounding box for the given entity(ies) in orange.  Some entites will also display entity specific overlay</v>
      </c>
    </row>
    <row r="739" spans="1:12" x14ac:dyDescent="0.25">
      <c r="A739" t="s">
        <v>5251</v>
      </c>
      <c r="C739" t="s">
        <v>1188</v>
      </c>
      <c r="D739" t="s">
        <v>25</v>
      </c>
      <c r="E739" t="s">
        <v>1189</v>
      </c>
      <c r="H739" t="str">
        <f t="shared" si="11"/>
        <v>Cancels all ent_fire created outputs that are currently waiting for their delay to expire.</v>
      </c>
    </row>
    <row r="740" spans="1:12" x14ac:dyDescent="0.25">
      <c r="A740" t="s">
        <v>5251</v>
      </c>
      <c r="C740" t="s">
        <v>1190</v>
      </c>
      <c r="D740" t="s">
        <v>25</v>
      </c>
      <c r="E740" t="s">
        <v>1191</v>
      </c>
      <c r="H740" t="str">
        <f t="shared" si="11"/>
        <v>Creates an entity of the given type where the player is looking.</v>
      </c>
    </row>
    <row r="741" spans="1:12" x14ac:dyDescent="0.25">
      <c r="A741" t="s">
        <v>5251</v>
      </c>
      <c r="C741" t="s">
        <v>1192</v>
      </c>
      <c r="D741" t="s">
        <v>25</v>
      </c>
      <c r="E741" t="s">
        <v>5181</v>
      </c>
      <c r="H741" t="str">
        <f t="shared" si="11"/>
        <v>Usage:    ent_dump &lt;entity name&gt;</v>
      </c>
    </row>
    <row r="742" spans="1:12" x14ac:dyDescent="0.25">
      <c r="A742" t="s">
        <v>5251</v>
      </c>
      <c r="C742" t="s">
        <v>1193</v>
      </c>
      <c r="D742" t="s">
        <v>25</v>
      </c>
      <c r="E742" t="s">
        <v>5182</v>
      </c>
      <c r="H742" t="str">
        <f t="shared" si="11"/>
        <v>Usage:    ent_fire &lt;target&gt; [action] [value] [delay]</v>
      </c>
    </row>
    <row r="743" spans="1:12" x14ac:dyDescent="0.25">
      <c r="A743" t="s">
        <v>5251</v>
      </c>
      <c r="C743" t="s">
        <v>1194</v>
      </c>
      <c r="D743" t="s">
        <v>25</v>
      </c>
      <c r="E743" t="s">
        <v>5183</v>
      </c>
      <c r="H743" t="str">
        <f t="shared" si="11"/>
        <v>Usage:    ent_info &lt;class name&gt;</v>
      </c>
    </row>
    <row r="744" spans="1:12" x14ac:dyDescent="0.25">
      <c r="A744" t="s">
        <v>5251</v>
      </c>
      <c r="C744" t="s">
        <v>1195</v>
      </c>
      <c r="D744" t="s">
        <v>25</v>
      </c>
      <c r="E744" t="s">
        <v>5184</v>
      </c>
      <c r="H744" t="str">
        <f t="shared" si="11"/>
        <v>Applies the comma delimited key=value pairs to the entity with the given Hammer ID. 	Format: ent_keyvalue &lt;entity id&gt; &lt;key1&gt;=&lt;v</v>
      </c>
    </row>
    <row r="745" spans="1:12" x14ac:dyDescent="0.25">
      <c r="A745" t="s">
        <v>5251</v>
      </c>
      <c r="C745" t="s">
        <v>1196</v>
      </c>
      <c r="D745" t="s">
        <v>25</v>
      </c>
      <c r="E745" t="s">
        <v>1197</v>
      </c>
      <c r="H745" t="str">
        <f t="shared" si="11"/>
        <v>Reports all list of all entities in a map, one by one</v>
      </c>
    </row>
    <row r="746" spans="1:12" x14ac:dyDescent="0.25">
      <c r="A746" t="s">
        <v>5251</v>
      </c>
      <c r="C746" t="s">
        <v>1198</v>
      </c>
      <c r="D746" t="s">
        <v>25</v>
      </c>
      <c r="E746" t="s">
        <v>1199</v>
      </c>
      <c r="H746" t="str">
        <f t="shared" si="11"/>
        <v>Toggles input/output message display for the selected entity(ies).  The name of the entity will be displayed as well as any mes</v>
      </c>
    </row>
    <row r="747" spans="1:12" x14ac:dyDescent="0.25">
      <c r="A747" t="s">
        <v>5251</v>
      </c>
      <c r="C747" t="s">
        <v>1200</v>
      </c>
      <c r="D747">
        <v>0</v>
      </c>
      <c r="E747" t="s">
        <v>1201</v>
      </c>
      <c r="H747" t="str">
        <f t="shared" si="11"/>
        <v>Visualizes all entity input/output activity.</v>
      </c>
      <c r="K747" t="s">
        <v>4</v>
      </c>
      <c r="L747" t="s">
        <v>5</v>
      </c>
    </row>
    <row r="748" spans="1:12" x14ac:dyDescent="0.25">
      <c r="A748" t="s">
        <v>5251</v>
      </c>
      <c r="C748" t="s">
        <v>1202</v>
      </c>
      <c r="D748" t="s">
        <v>25</v>
      </c>
      <c r="H748">
        <f t="shared" si="11"/>
        <v>0</v>
      </c>
    </row>
    <row r="749" spans="1:12" x14ac:dyDescent="0.25">
      <c r="A749" t="s">
        <v>5251</v>
      </c>
      <c r="C749" t="s">
        <v>1203</v>
      </c>
      <c r="D749" t="s">
        <v>25</v>
      </c>
      <c r="E749" t="s">
        <v>1204</v>
      </c>
      <c r="H749" t="str">
        <f t="shared" si="11"/>
        <v>Orient the specified entity to match the player's angles. By default, only orients target entity's YAW. Use the 'allangles' opt</v>
      </c>
    </row>
    <row r="750" spans="1:12" x14ac:dyDescent="0.25">
      <c r="A750" t="s">
        <v>5251</v>
      </c>
      <c r="C750" t="s">
        <v>1205</v>
      </c>
      <c r="D750" t="s">
        <v>25</v>
      </c>
      <c r="E750" t="s">
        <v>1206</v>
      </c>
      <c r="H750" t="str">
        <f t="shared" si="11"/>
        <v>Toggles pausing of input/output message processing for entities.  When turned on processing of all message will stop.  Any mess</v>
      </c>
    </row>
    <row r="751" spans="1:12" x14ac:dyDescent="0.25">
      <c r="A751" t="s">
        <v>5251</v>
      </c>
      <c r="C751" t="s">
        <v>1207</v>
      </c>
      <c r="D751" t="s">
        <v>25</v>
      </c>
      <c r="E751" t="s">
        <v>5185</v>
      </c>
      <c r="H751" t="str">
        <f t="shared" si="11"/>
        <v>Displays the pivot for the given entity(ies). 	(y=up=green, z=forward=blue, x=left=red).  	Arguments:   	{entity_name} / {class</v>
      </c>
    </row>
    <row r="752" spans="1:12" x14ac:dyDescent="0.25">
      <c r="A752" t="s">
        <v>5251</v>
      </c>
      <c r="C752" t="s">
        <v>1208</v>
      </c>
      <c r="D752" t="s">
        <v>25</v>
      </c>
      <c r="E752" t="s">
        <v>5178</v>
      </c>
      <c r="H752" t="str">
        <f t="shared" si="11"/>
        <v>Displays the total bounding box for the given entity(s) in green.  Some entites will also display entity specific overlays. 	Ar</v>
      </c>
    </row>
    <row r="753" spans="1:8" x14ac:dyDescent="0.25">
      <c r="A753" t="s">
        <v>5251</v>
      </c>
      <c r="C753" t="s">
        <v>1209</v>
      </c>
      <c r="D753" t="s">
        <v>25</v>
      </c>
      <c r="E753" t="s">
        <v>5186</v>
      </c>
      <c r="H753" t="str">
        <f t="shared" si="11"/>
        <v xml:space="preserve">Removes the given entity(s) 	Arguments:   	{entity_name} / {class_name} / no argument picks what player is looking at </v>
      </c>
    </row>
    <row r="754" spans="1:8" x14ac:dyDescent="0.25">
      <c r="A754" t="s">
        <v>5251</v>
      </c>
      <c r="C754" t="s">
        <v>1210</v>
      </c>
      <c r="D754" t="s">
        <v>25</v>
      </c>
      <c r="E754" t="s">
        <v>5187</v>
      </c>
      <c r="H754" t="str">
        <f t="shared" si="11"/>
        <v xml:space="preserve">Removes all entities of the specified type 	Arguments:   	{entity_name} / {class_name} </v>
      </c>
    </row>
    <row r="755" spans="1:8" x14ac:dyDescent="0.25">
      <c r="A755" t="s">
        <v>5251</v>
      </c>
      <c r="C755" t="s">
        <v>1211</v>
      </c>
      <c r="D755" t="s">
        <v>25</v>
      </c>
      <c r="E755" t="s">
        <v>1212</v>
      </c>
      <c r="H755" t="str">
        <f t="shared" si="11"/>
        <v>Rotates an entity by a specified # of degrees</v>
      </c>
    </row>
    <row r="756" spans="1:8" x14ac:dyDescent="0.25">
      <c r="A756" t="s">
        <v>5251</v>
      </c>
      <c r="C756" t="s">
        <v>1213</v>
      </c>
      <c r="D756" t="s">
        <v>25</v>
      </c>
      <c r="E756" t="s">
        <v>5188</v>
      </c>
      <c r="H756" t="str">
        <f t="shared" si="11"/>
        <v>Dumps the names and values of this entity's script scope to the console 	Arguments:   	{entity_name} / {class_name} / no argume</v>
      </c>
    </row>
    <row r="757" spans="1:8" x14ac:dyDescent="0.25">
      <c r="A757" t="s">
        <v>5251</v>
      </c>
      <c r="C757" t="s">
        <v>1214</v>
      </c>
      <c r="D757" t="s">
        <v>25</v>
      </c>
      <c r="E757" t="s">
        <v>1215</v>
      </c>
      <c r="H757" t="str">
        <f t="shared" si="11"/>
        <v>Set entity angles</v>
      </c>
    </row>
    <row r="758" spans="1:8" x14ac:dyDescent="0.25">
      <c r="A758" t="s">
        <v>5251</v>
      </c>
      <c r="C758" t="s">
        <v>1216</v>
      </c>
      <c r="D758" t="s">
        <v>25</v>
      </c>
      <c r="E758" t="s">
        <v>5189</v>
      </c>
      <c r="H758" t="str">
        <f t="shared" si="11"/>
        <v>Sets the targetname of the given entity(s) 	Arguments:   	{new entity name} {entity_name} / {class_name} / no argument picks wh</v>
      </c>
    </row>
    <row r="759" spans="1:8" x14ac:dyDescent="0.25">
      <c r="A759" t="s">
        <v>5251</v>
      </c>
      <c r="C759" t="s">
        <v>1217</v>
      </c>
      <c r="D759" t="s">
        <v>25</v>
      </c>
      <c r="E759" t="s">
        <v>1218</v>
      </c>
      <c r="H759" t="str">
        <f t="shared" si="11"/>
        <v>Move entity to position</v>
      </c>
    </row>
    <row r="760" spans="1:8" x14ac:dyDescent="0.25">
      <c r="A760" t="s">
        <v>5251</v>
      </c>
      <c r="C760" t="s">
        <v>1219</v>
      </c>
      <c r="D760" t="s">
        <v>25</v>
      </c>
      <c r="E760" t="s">
        <v>5190</v>
      </c>
      <c r="H760" t="str">
        <f t="shared" si="11"/>
        <v>Print, to the console, an entity's current criteria set used to select responses. 	Arguments:   	{entity_name} / {class_name} /</v>
      </c>
    </row>
    <row r="761" spans="1:8" x14ac:dyDescent="0.25">
      <c r="A761" t="s">
        <v>5251</v>
      </c>
      <c r="C761" t="s">
        <v>1220</v>
      </c>
      <c r="D761" t="s">
        <v>25</v>
      </c>
      <c r="E761" t="s">
        <v>1221</v>
      </c>
      <c r="H761" t="str">
        <f t="shared" si="11"/>
        <v>When 'ent_pause' is set this will step through one waiting input / output message at a time.</v>
      </c>
    </row>
    <row r="762" spans="1:8" x14ac:dyDescent="0.25">
      <c r="A762" t="s">
        <v>5251</v>
      </c>
      <c r="C762" t="s">
        <v>1222</v>
      </c>
      <c r="D762" t="s">
        <v>25</v>
      </c>
      <c r="E762" t="s">
        <v>5191</v>
      </c>
      <c r="H762" t="str">
        <f t="shared" si="11"/>
        <v>Teleport the specified entity to where the player is looking. 	Format: ent_teleport &lt;entity name&gt;</v>
      </c>
    </row>
    <row r="763" spans="1:8" x14ac:dyDescent="0.25">
      <c r="A763" t="s">
        <v>5251</v>
      </c>
      <c r="C763" t="s">
        <v>1223</v>
      </c>
      <c r="D763" t="s">
        <v>25</v>
      </c>
      <c r="E763" t="s">
        <v>5192</v>
      </c>
      <c r="H763" t="str">
        <f t="shared" si="11"/>
        <v>Displays text debugging information about the given entity(ies) on top of the entity (See Overlay Text) 	Arguments:   	{entity_</v>
      </c>
    </row>
    <row r="764" spans="1:8" x14ac:dyDescent="0.25">
      <c r="A764" t="s">
        <v>5251</v>
      </c>
      <c r="C764" t="s">
        <v>1224</v>
      </c>
      <c r="D764" t="s">
        <v>25</v>
      </c>
      <c r="E764" t="s">
        <v>5193</v>
      </c>
      <c r="H764" t="str">
        <f t="shared" si="11"/>
        <v>Displays the eye position for the given entity(ies) in red. 	Arguments:   	{entity_name} / {class_name} / no argument picks wha</v>
      </c>
    </row>
    <row r="765" spans="1:8" x14ac:dyDescent="0.25">
      <c r="A765" t="s">
        <v>5251</v>
      </c>
      <c r="C765" t="s">
        <v>1225</v>
      </c>
      <c r="D765" t="s">
        <v>25</v>
      </c>
      <c r="H765">
        <f t="shared" si="11"/>
        <v>0</v>
      </c>
    </row>
    <row r="766" spans="1:8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  <c r="H766" t="str">
        <f t="shared" si="11"/>
        <v>Escape key pressed.</v>
      </c>
    </row>
    <row r="767" spans="1:8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  <c r="H767" t="str">
        <f t="shared" si="11"/>
        <v>Execute script file.</v>
      </c>
    </row>
    <row r="768" spans="1:8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  <c r="H768" t="str">
        <f t="shared" si="11"/>
        <v>Execute script file if file exists.</v>
      </c>
    </row>
    <row r="769" spans="1:24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  <c r="H769" t="str">
        <f t="shared" si="11"/>
        <v>Execute script file, only execing convars on a whitelist.</v>
      </c>
    </row>
    <row r="770" spans="1:24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  <c r="H770" t="str">
        <f t="shared" si="11"/>
        <v>Exit the engine.</v>
      </c>
    </row>
    <row r="771" spans="1:24" x14ac:dyDescent="0.25">
      <c r="A771" t="s">
        <v>5251</v>
      </c>
      <c r="C771" t="s">
        <v>1236</v>
      </c>
      <c r="D771" t="s">
        <v>25</v>
      </c>
      <c r="E771" t="s">
        <v>1237</v>
      </c>
      <c r="H771" t="str">
        <f t="shared" ref="H771:H834" si="12">IF(F771="",E771, F771 &amp; " - Original Helptext: " &amp;E771)</f>
        <v>equips or removes exojump</v>
      </c>
    </row>
    <row r="772" spans="1:24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  <c r="H772" t="str">
        <f t="shared" si="12"/>
        <v>Kills the player with explosive damage</v>
      </c>
    </row>
    <row r="773" spans="1:24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  <c r="H773" t="str">
        <f t="shared" si="12"/>
        <v>Kills a player applying an explosive force. Usage: explodevector &lt;player&gt; &lt;x value&gt; &lt;y value&gt; &lt;z value&gt;</v>
      </c>
    </row>
    <row r="774" spans="1:24" x14ac:dyDescent="0.25">
      <c r="A774" t="s">
        <v>5251</v>
      </c>
      <c r="C774" t="s">
        <v>1242</v>
      </c>
      <c r="D774" t="s">
        <v>25</v>
      </c>
      <c r="E774" t="s">
        <v>1243</v>
      </c>
      <c r="H774" t="str">
        <f t="shared" si="12"/>
        <v>fadein {time r g b}: Fades the screen in from black or from the specified color over the given number of seconds.</v>
      </c>
    </row>
    <row r="775" spans="1:24" x14ac:dyDescent="0.25">
      <c r="A775" t="s">
        <v>5251</v>
      </c>
      <c r="C775" t="s">
        <v>1244</v>
      </c>
      <c r="D775" t="s">
        <v>25</v>
      </c>
      <c r="E775" t="s">
        <v>1245</v>
      </c>
      <c r="H775" t="str">
        <f t="shared" si="12"/>
        <v>fadeout {time r g b}: Fades the screen to black or to the specified color over the given number of seconds.</v>
      </c>
    </row>
    <row r="776" spans="1:24" x14ac:dyDescent="0.25">
      <c r="A776" t="s">
        <v>5253</v>
      </c>
      <c r="C776" t="s">
        <v>1246</v>
      </c>
      <c r="D776">
        <v>0</v>
      </c>
      <c r="E776" t="s">
        <v>1247</v>
      </c>
      <c r="H776" t="str">
        <f t="shared" si="12"/>
        <v>If friendly fire is off, this will scale the penetration power and damage a bullet does when penetrating another friendly playe</v>
      </c>
      <c r="S776" t="s">
        <v>12</v>
      </c>
      <c r="X776" t="s">
        <v>17</v>
      </c>
    </row>
    <row r="777" spans="1:24" x14ac:dyDescent="0.25">
      <c r="A777" t="s">
        <v>5253</v>
      </c>
      <c r="C777" t="s">
        <v>1248</v>
      </c>
      <c r="D777">
        <v>0</v>
      </c>
      <c r="E777" t="s">
        <v>1249</v>
      </c>
      <c r="H777" t="str">
        <f t="shared" si="12"/>
        <v>Enables or disables team damage from decoy detonation</v>
      </c>
      <c r="S777" t="s">
        <v>12</v>
      </c>
      <c r="X777" t="s">
        <v>17</v>
      </c>
    </row>
    <row r="778" spans="1:24" x14ac:dyDescent="0.25">
      <c r="A778" t="s">
        <v>5253</v>
      </c>
      <c r="C778" t="s">
        <v>1250</v>
      </c>
      <c r="D778">
        <v>1</v>
      </c>
      <c r="E778" t="s">
        <v>1251</v>
      </c>
      <c r="H778" t="str">
        <f t="shared" si="12"/>
        <v>Enables or disables team damage from thrown grenade impacts</v>
      </c>
      <c r="S778" t="s">
        <v>12</v>
      </c>
      <c r="X778" t="s">
        <v>17</v>
      </c>
    </row>
    <row r="779" spans="1:24" x14ac:dyDescent="0.25">
      <c r="A779" t="s">
        <v>5253</v>
      </c>
      <c r="C779" t="s">
        <v>1252</v>
      </c>
      <c r="D779">
        <v>0</v>
      </c>
      <c r="E779" t="s">
        <v>1253</v>
      </c>
      <c r="H779" t="str">
        <f t="shared" si="12"/>
        <v>How much to reduce damage done to teammates when shot.  Range is from 0 - 1 (with 1 being damage equal to what is done to an en</v>
      </c>
      <c r="S779" t="s">
        <v>12</v>
      </c>
      <c r="X779" t="s">
        <v>17</v>
      </c>
    </row>
    <row r="780" spans="1:24" x14ac:dyDescent="0.25">
      <c r="A780" t="s">
        <v>5253</v>
      </c>
      <c r="C780" t="s">
        <v>1254</v>
      </c>
      <c r="D780">
        <v>0</v>
      </c>
      <c r="E780" t="s">
        <v>1255</v>
      </c>
      <c r="H780" t="str">
        <f t="shared" si="12"/>
        <v>How much to reduce damage done to teammates by a thrown grenade.  Range is from 0 - 1 (with 1 being damage equal to what is don</v>
      </c>
      <c r="S780" t="s">
        <v>12</v>
      </c>
      <c r="X780" t="s">
        <v>17</v>
      </c>
    </row>
    <row r="781" spans="1:24" x14ac:dyDescent="0.25">
      <c r="A781" t="s">
        <v>5253</v>
      </c>
      <c r="C781" t="s">
        <v>1256</v>
      </c>
      <c r="D781">
        <v>0</v>
      </c>
      <c r="E781" t="s">
        <v>1257</v>
      </c>
      <c r="H781" t="str">
        <f t="shared" si="12"/>
        <v>How much to damage a player does to himself with his own grenade.  Range is from 0 - 1 (with 1 being damage equal to what is do</v>
      </c>
      <c r="S781" t="s">
        <v>12</v>
      </c>
      <c r="X781" t="s">
        <v>17</v>
      </c>
    </row>
    <row r="782" spans="1:24" x14ac:dyDescent="0.25">
      <c r="A782" t="s">
        <v>5253</v>
      </c>
      <c r="C782" t="s">
        <v>1258</v>
      </c>
      <c r="D782">
        <v>0</v>
      </c>
      <c r="E782" t="s">
        <v>1259</v>
      </c>
      <c r="H782" t="str">
        <f t="shared" si="12"/>
        <v>How much to reduce damage done to teammates by things other than bullets and grenades.  Range is from 0 - 1 (with 1 being damag</v>
      </c>
      <c r="S782" t="s">
        <v>12</v>
      </c>
      <c r="X782" t="s">
        <v>17</v>
      </c>
    </row>
    <row r="783" spans="1:24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  <c r="H783" t="str">
        <f t="shared" si="12"/>
        <v>Find concommands with the specified string in their name/help text.</v>
      </c>
    </row>
    <row r="784" spans="1:24" x14ac:dyDescent="0.25">
      <c r="A784" t="s">
        <v>5251</v>
      </c>
      <c r="C784" t="s">
        <v>1262</v>
      </c>
      <c r="D784" t="s">
        <v>25</v>
      </c>
      <c r="E784" t="s">
        <v>5194</v>
      </c>
      <c r="H784" t="str">
        <f t="shared" si="12"/>
        <v>Find and list all entities with classnames or targetnames that contain the specified substring. Format: find_ent &lt;substring&gt;</v>
      </c>
    </row>
    <row r="785" spans="1:24" x14ac:dyDescent="0.25">
      <c r="A785" t="s">
        <v>5251</v>
      </c>
      <c r="C785" t="s">
        <v>1263</v>
      </c>
      <c r="D785" t="s">
        <v>25</v>
      </c>
      <c r="E785" t="s">
        <v>5195</v>
      </c>
      <c r="H785" t="str">
        <f t="shared" si="12"/>
        <v>Display data for entity matching specified index. Format: find_ent_index &lt;index&gt;</v>
      </c>
    </row>
    <row r="786" spans="1:24" x14ac:dyDescent="0.25">
      <c r="A786" t="s">
        <v>5252</v>
      </c>
      <c r="C786" t="s">
        <v>1264</v>
      </c>
      <c r="D786" t="s">
        <v>25</v>
      </c>
      <c r="E786" t="s">
        <v>1265</v>
      </c>
      <c r="H786" t="str">
        <f t="shared" si="12"/>
        <v>Find concommands by flags.</v>
      </c>
    </row>
    <row r="787" spans="1:24" x14ac:dyDescent="0.25">
      <c r="A787" t="s">
        <v>5252</v>
      </c>
      <c r="C787" t="s">
        <v>1266</v>
      </c>
      <c r="D787" t="s">
        <v>25</v>
      </c>
      <c r="H787">
        <f t="shared" si="12"/>
        <v>0</v>
      </c>
    </row>
    <row r="788" spans="1:24" x14ac:dyDescent="0.25">
      <c r="A788" t="s">
        <v>5252</v>
      </c>
      <c r="C788" t="s">
        <v>1267</v>
      </c>
      <c r="D788" t="s">
        <v>25</v>
      </c>
      <c r="E788" t="s">
        <v>1268</v>
      </c>
      <c r="H788" t="str">
        <f t="shared" si="12"/>
        <v>Switch to firstperson camera.</v>
      </c>
    </row>
    <row r="789" spans="1:24" x14ac:dyDescent="0.25">
      <c r="A789" t="s">
        <v>5251</v>
      </c>
      <c r="C789" t="s">
        <v>1269</v>
      </c>
      <c r="D789">
        <v>0</v>
      </c>
      <c r="E789" t="s">
        <v>1270</v>
      </c>
      <c r="H789" t="str">
        <f t="shared" si="12"/>
        <v>Show debug info for fish</v>
      </c>
      <c r="L789" t="s">
        <v>5</v>
      </c>
      <c r="X789" t="s">
        <v>17</v>
      </c>
    </row>
    <row r="790" spans="1:24" x14ac:dyDescent="0.25">
      <c r="A790" t="s">
        <v>5251</v>
      </c>
      <c r="C790" t="s">
        <v>1271</v>
      </c>
      <c r="D790">
        <v>0</v>
      </c>
      <c r="E790" t="s">
        <v>1272</v>
      </c>
      <c r="H790" t="str">
        <f t="shared" si="12"/>
        <v>Turns off interactive fish behavior. Fish become immobile and unresponsive.</v>
      </c>
      <c r="K790" t="s">
        <v>4</v>
      </c>
      <c r="L790" t="s">
        <v>5</v>
      </c>
      <c r="S790" t="s">
        <v>12</v>
      </c>
    </row>
    <row r="791" spans="1:24" x14ac:dyDescent="0.25">
      <c r="A791" t="s">
        <v>5251</v>
      </c>
      <c r="C791" t="s">
        <v>1273</v>
      </c>
      <c r="D791" t="s">
        <v>25</v>
      </c>
      <c r="E791" t="s">
        <v>1274</v>
      </c>
      <c r="H791" t="str">
        <f t="shared" si="12"/>
        <v>Flush unlocked cache memory.</v>
      </c>
    </row>
    <row r="792" spans="1:24" x14ac:dyDescent="0.25">
      <c r="A792" t="s">
        <v>5251</v>
      </c>
      <c r="C792" t="s">
        <v>1275</v>
      </c>
      <c r="D792" t="s">
        <v>25</v>
      </c>
      <c r="E792" t="s">
        <v>1276</v>
      </c>
      <c r="H792" t="str">
        <f t="shared" si="12"/>
        <v>Flush unlocked and locked cache memory.</v>
      </c>
    </row>
    <row r="793" spans="1:24" x14ac:dyDescent="0.25">
      <c r="A793" t="s">
        <v>5251</v>
      </c>
      <c r="C793" t="s">
        <v>1277</v>
      </c>
      <c r="D793">
        <v>-1</v>
      </c>
      <c r="H793">
        <f t="shared" si="12"/>
        <v>0</v>
      </c>
      <c r="L793" t="s">
        <v>5</v>
      </c>
      <c r="X793" t="s">
        <v>17</v>
      </c>
    </row>
    <row r="794" spans="1:24" x14ac:dyDescent="0.25">
      <c r="A794" t="s">
        <v>5251</v>
      </c>
      <c r="C794" t="s">
        <v>1278</v>
      </c>
      <c r="D794">
        <v>-1</v>
      </c>
      <c r="H794">
        <f t="shared" si="12"/>
        <v>0</v>
      </c>
      <c r="L794" t="s">
        <v>5</v>
      </c>
      <c r="X794" t="s">
        <v>17</v>
      </c>
    </row>
    <row r="795" spans="1:24" x14ac:dyDescent="0.25">
      <c r="A795" t="s">
        <v>5251</v>
      </c>
      <c r="C795" t="s">
        <v>1279</v>
      </c>
      <c r="D795">
        <v>1</v>
      </c>
      <c r="H795">
        <f t="shared" si="12"/>
        <v>0</v>
      </c>
      <c r="L795" t="s">
        <v>5</v>
      </c>
      <c r="X795" t="s">
        <v>17</v>
      </c>
    </row>
    <row r="796" spans="1:24" x14ac:dyDescent="0.25">
      <c r="A796" t="s">
        <v>5251</v>
      </c>
      <c r="C796" t="s">
        <v>1280</v>
      </c>
      <c r="D796">
        <v>1</v>
      </c>
      <c r="H796">
        <f t="shared" si="12"/>
        <v>0</v>
      </c>
      <c r="L796" t="s">
        <v>5</v>
      </c>
    </row>
    <row r="797" spans="1:24" x14ac:dyDescent="0.25">
      <c r="A797" t="s">
        <v>5251</v>
      </c>
      <c r="C797" t="s">
        <v>1281</v>
      </c>
      <c r="D797">
        <v>1</v>
      </c>
      <c r="H797">
        <f t="shared" si="12"/>
        <v>0</v>
      </c>
      <c r="L797" t="s">
        <v>5</v>
      </c>
      <c r="X797" t="s">
        <v>17</v>
      </c>
    </row>
    <row r="798" spans="1:24" x14ac:dyDescent="0.25">
      <c r="A798" t="s">
        <v>5251</v>
      </c>
      <c r="C798" t="s">
        <v>1282</v>
      </c>
      <c r="D798">
        <v>-1</v>
      </c>
      <c r="H798">
        <f t="shared" si="12"/>
        <v>0</v>
      </c>
      <c r="L798" t="s">
        <v>5</v>
      </c>
      <c r="X798" t="s">
        <v>17</v>
      </c>
    </row>
    <row r="799" spans="1:24" x14ac:dyDescent="0.25">
      <c r="A799" t="s">
        <v>5251</v>
      </c>
      <c r="C799" t="s">
        <v>1283</v>
      </c>
      <c r="D799">
        <v>-1</v>
      </c>
      <c r="H799">
        <f t="shared" si="12"/>
        <v>0</v>
      </c>
      <c r="L799" t="s">
        <v>5</v>
      </c>
      <c r="X799" t="s">
        <v>17</v>
      </c>
    </row>
    <row r="800" spans="1:24" x14ac:dyDescent="0.25">
      <c r="A800" t="s">
        <v>5251</v>
      </c>
      <c r="C800" t="s">
        <v>1284</v>
      </c>
      <c r="D800">
        <v>-1</v>
      </c>
      <c r="H800">
        <f t="shared" si="12"/>
        <v>0</v>
      </c>
      <c r="L800" t="s">
        <v>5</v>
      </c>
      <c r="X800" t="s">
        <v>17</v>
      </c>
    </row>
    <row r="801" spans="1:24" x14ac:dyDescent="0.25">
      <c r="A801" t="s">
        <v>5251</v>
      </c>
      <c r="C801" t="s">
        <v>1285</v>
      </c>
      <c r="D801">
        <v>-1</v>
      </c>
      <c r="H801">
        <f t="shared" si="12"/>
        <v>0</v>
      </c>
      <c r="L801" t="s">
        <v>5</v>
      </c>
      <c r="X801" t="s">
        <v>17</v>
      </c>
    </row>
    <row r="802" spans="1:24" x14ac:dyDescent="0.25">
      <c r="A802" t="s">
        <v>5251</v>
      </c>
      <c r="C802" t="s">
        <v>1286</v>
      </c>
      <c r="D802">
        <v>-1</v>
      </c>
      <c r="H802">
        <f t="shared" si="12"/>
        <v>0</v>
      </c>
      <c r="L802" t="s">
        <v>5</v>
      </c>
      <c r="X802" t="s">
        <v>17</v>
      </c>
    </row>
    <row r="803" spans="1:24" x14ac:dyDescent="0.25">
      <c r="A803" t="s">
        <v>5251</v>
      </c>
      <c r="C803" t="s">
        <v>1287</v>
      </c>
      <c r="D803">
        <v>-1</v>
      </c>
      <c r="H803">
        <f t="shared" si="12"/>
        <v>0</v>
      </c>
      <c r="L803" t="s">
        <v>5</v>
      </c>
      <c r="X803" t="s">
        <v>17</v>
      </c>
    </row>
    <row r="804" spans="1:24" x14ac:dyDescent="0.25">
      <c r="A804" t="s">
        <v>5251</v>
      </c>
      <c r="C804" t="s">
        <v>1288</v>
      </c>
      <c r="D804">
        <v>0</v>
      </c>
      <c r="E804" t="s">
        <v>1289</v>
      </c>
      <c r="H804" t="str">
        <f t="shared" si="12"/>
        <v>Overrides the map's fog settings (-1 populates fog_ vars with map's values)</v>
      </c>
      <c r="L804" t="s">
        <v>5</v>
      </c>
      <c r="X804" t="s">
        <v>17</v>
      </c>
    </row>
    <row r="805" spans="1:24" x14ac:dyDescent="0.25">
      <c r="A805" t="s">
        <v>5251</v>
      </c>
      <c r="C805" t="s">
        <v>1290</v>
      </c>
      <c r="D805">
        <v>-1</v>
      </c>
      <c r="H805">
        <f t="shared" si="12"/>
        <v>0</v>
      </c>
      <c r="L805" t="s">
        <v>5</v>
      </c>
      <c r="X805" t="s">
        <v>17</v>
      </c>
    </row>
    <row r="806" spans="1:24" x14ac:dyDescent="0.25">
      <c r="A806" t="s">
        <v>5251</v>
      </c>
      <c r="C806" t="s">
        <v>1291</v>
      </c>
      <c r="D806">
        <v>-1</v>
      </c>
      <c r="H806">
        <f t="shared" si="12"/>
        <v>0</v>
      </c>
      <c r="L806" t="s">
        <v>5</v>
      </c>
      <c r="X806" t="s">
        <v>17</v>
      </c>
    </row>
    <row r="807" spans="1:24" x14ac:dyDescent="0.25">
      <c r="A807" t="s">
        <v>5251</v>
      </c>
      <c r="C807" t="s">
        <v>1292</v>
      </c>
      <c r="D807" t="s">
        <v>25</v>
      </c>
      <c r="E807" t="s">
        <v>1293</v>
      </c>
      <c r="H807" t="str">
        <f t="shared" si="12"/>
        <v>Show/hide fog control UI.</v>
      </c>
    </row>
    <row r="808" spans="1:24" x14ac:dyDescent="0.25">
      <c r="A808" t="s">
        <v>5251</v>
      </c>
      <c r="C808" t="s">
        <v>1294</v>
      </c>
      <c r="D808">
        <v>0</v>
      </c>
      <c r="E808" t="s">
        <v>1295</v>
      </c>
      <c r="H808" t="str">
        <f t="shared" si="12"/>
        <v>Keeps track of whether we're forcing english in a localized language.</v>
      </c>
      <c r="I808" t="s">
        <v>2</v>
      </c>
    </row>
    <row r="809" spans="1:24" x14ac:dyDescent="0.25">
      <c r="A809" t="s">
        <v>5251</v>
      </c>
      <c r="C809" t="s">
        <v>1296</v>
      </c>
      <c r="D809" t="s">
        <v>25</v>
      </c>
      <c r="H809">
        <f t="shared" si="12"/>
        <v>0</v>
      </c>
    </row>
    <row r="810" spans="1:24" x14ac:dyDescent="0.25">
      <c r="A810" t="s">
        <v>5252</v>
      </c>
      <c r="C810" t="s">
        <v>1297</v>
      </c>
      <c r="D810" t="s">
        <v>25</v>
      </c>
      <c r="E810" t="s">
        <v>1298</v>
      </c>
      <c r="H810" t="str">
        <f t="shared" si="12"/>
        <v>Bind a command to an available key. (forcebind command opt:suggestedKey)</v>
      </c>
    </row>
    <row r="811" spans="1:24" x14ac:dyDescent="0.25">
      <c r="A811" t="s">
        <v>5251</v>
      </c>
      <c r="B811" t="s">
        <v>25</v>
      </c>
      <c r="C811" t="s">
        <v>1299</v>
      </c>
      <c r="D811" t="s">
        <v>25</v>
      </c>
      <c r="H811">
        <f t="shared" si="12"/>
        <v>0</v>
      </c>
    </row>
    <row r="812" spans="1:24" x14ac:dyDescent="0.25">
      <c r="A812" t="s">
        <v>5251</v>
      </c>
      <c r="B812" t="s">
        <v>25</v>
      </c>
      <c r="C812" t="s">
        <v>1300</v>
      </c>
      <c r="D812" t="s">
        <v>25</v>
      </c>
      <c r="H812">
        <f t="shared" si="12"/>
        <v>0</v>
      </c>
    </row>
    <row r="813" spans="1:24" x14ac:dyDescent="0.25">
      <c r="A813" t="s">
        <v>5251</v>
      </c>
      <c r="C813" t="s">
        <v>1301</v>
      </c>
      <c r="D813" t="s">
        <v>25</v>
      </c>
      <c r="E813" t="s">
        <v>1302</v>
      </c>
      <c r="H813" t="str">
        <f t="shared" si="12"/>
        <v>Give the engine control of the mouse.</v>
      </c>
    </row>
    <row r="814" spans="1:24" x14ac:dyDescent="0.25">
      <c r="A814" t="s">
        <v>5251</v>
      </c>
      <c r="C814" t="s">
        <v>1303</v>
      </c>
      <c r="D814" t="s">
        <v>25</v>
      </c>
      <c r="E814" t="s">
        <v>1304</v>
      </c>
      <c r="H814" t="str">
        <f t="shared" si="12"/>
        <v>Give the control of the mouse back to Hammer.</v>
      </c>
    </row>
    <row r="815" spans="1:24" x14ac:dyDescent="0.25">
      <c r="A815" t="s">
        <v>5251</v>
      </c>
      <c r="C815" t="s">
        <v>1305</v>
      </c>
      <c r="D815" t="s">
        <v>25</v>
      </c>
      <c r="E815" t="s">
        <v>1306</v>
      </c>
      <c r="H815" t="str">
        <f t="shared" si="12"/>
        <v>Select the entity under the crosshair or select entities with the specified name.</v>
      </c>
    </row>
    <row r="816" spans="1:24" x14ac:dyDescent="0.25">
      <c r="A816" t="s">
        <v>5251</v>
      </c>
      <c r="C816" t="s">
        <v>1307</v>
      </c>
      <c r="D816" t="s">
        <v>25</v>
      </c>
      <c r="E816" t="s">
        <v>1308</v>
      </c>
      <c r="H816" t="str">
        <f t="shared" si="12"/>
        <v>Move Hammer's 3D view to the same position as the engine's 3D view.</v>
      </c>
    </row>
    <row r="817" spans="1:24" x14ac:dyDescent="0.25">
      <c r="A817" t="s">
        <v>5251</v>
      </c>
      <c r="C817" t="s">
        <v>1309</v>
      </c>
      <c r="D817" t="s">
        <v>25</v>
      </c>
      <c r="E817" t="s">
        <v>1310</v>
      </c>
      <c r="H817" t="str">
        <f t="shared" si="12"/>
        <v>Updates the entity's position/angles when in edit mode</v>
      </c>
    </row>
    <row r="818" spans="1:24" x14ac:dyDescent="0.25">
      <c r="A818" t="s">
        <v>5251</v>
      </c>
      <c r="C818" t="s">
        <v>1311</v>
      </c>
      <c r="D818">
        <v>0</v>
      </c>
      <c r="E818" t="s">
        <v>1312</v>
      </c>
      <c r="H818" t="str">
        <f t="shared" si="12"/>
        <v>Sets the view fov if cheats are on.</v>
      </c>
      <c r="L818" t="s">
        <v>5</v>
      </c>
      <c r="X818" t="s">
        <v>17</v>
      </c>
    </row>
    <row r="819" spans="1:24" x14ac:dyDescent="0.25">
      <c r="A819" t="s">
        <v>5251</v>
      </c>
      <c r="C819" t="s">
        <v>1313</v>
      </c>
      <c r="D819">
        <v>0</v>
      </c>
      <c r="E819" t="s">
        <v>1314</v>
      </c>
      <c r="H819" t="str">
        <f t="shared" si="12"/>
        <v>Sets the GOTV view custom fov in roaming view.</v>
      </c>
      <c r="X819" t="s">
        <v>17</v>
      </c>
    </row>
    <row r="820" spans="1:24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  <c r="H820" t="str">
        <f t="shared" si="12"/>
        <v>Frame rate limiter</v>
      </c>
    </row>
    <row r="821" spans="1:24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  <c r="H821" t="str">
        <f t="shared" si="12"/>
        <v>Frame rate limiter, main menu</v>
      </c>
    </row>
    <row r="822" spans="1:24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H822" t="str">
        <f t="shared" si="12"/>
        <v>While the fps is below the threshold we will dump a screen shot this often in seconds (i.e. 10 = screen shot every 10 seconds w</v>
      </c>
      <c r="L822" t="s">
        <v>5</v>
      </c>
    </row>
    <row r="823" spans="1:24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H823" t="str">
        <f t="shared" si="12"/>
        <v>Dump a screenshot when the FPS drops below the given value.</v>
      </c>
      <c r="L823" t="s">
        <v>5</v>
      </c>
    </row>
    <row r="824" spans="1:24" x14ac:dyDescent="0.25">
      <c r="A824" t="s">
        <v>5251</v>
      </c>
      <c r="C824" t="s">
        <v>1323</v>
      </c>
      <c r="D824">
        <v>0</v>
      </c>
      <c r="E824" t="s">
        <v>1324</v>
      </c>
      <c r="H824" t="str">
        <f t="shared" si="12"/>
        <v>0: Disallow writes to filesystem locations we don't own. 1: Allow such writes (potentially unsafe).</v>
      </c>
    </row>
    <row r="825" spans="1:24" x14ac:dyDescent="0.25">
      <c r="A825" t="s">
        <v>5251</v>
      </c>
      <c r="C825" t="s">
        <v>1325</v>
      </c>
      <c r="D825" t="s">
        <v>25</v>
      </c>
      <c r="E825" t="s">
        <v>1326</v>
      </c>
      <c r="H825" t="str">
        <f t="shared" si="12"/>
        <v>Clear the list of files that have been opened.</v>
      </c>
    </row>
    <row r="826" spans="1:24" x14ac:dyDescent="0.25">
      <c r="A826" t="s">
        <v>5251</v>
      </c>
      <c r="C826" t="s">
        <v>1327</v>
      </c>
      <c r="D826" t="s">
        <v>25</v>
      </c>
      <c r="E826" t="s">
        <v>1328</v>
      </c>
      <c r="H826" t="str">
        <f t="shared" si="12"/>
        <v>Set fs_report_long_reads 1 before loading to use this. Prints a list of files that were opened more than once and ~how long was</v>
      </c>
    </row>
    <row r="827" spans="1:24" x14ac:dyDescent="0.25">
      <c r="A827" t="s">
        <v>5251</v>
      </c>
      <c r="C827" t="s">
        <v>1329</v>
      </c>
      <c r="D827" t="s">
        <v>25</v>
      </c>
      <c r="E827" t="s">
        <v>1330</v>
      </c>
      <c r="H827" t="str">
        <f t="shared" si="12"/>
        <v>Cancels all the prefetches in progress.</v>
      </c>
    </row>
    <row r="828" spans="1:24" x14ac:dyDescent="0.25">
      <c r="A828" t="s">
        <v>5251</v>
      </c>
      <c r="C828" t="s">
        <v>1331</v>
      </c>
      <c r="D828" t="s">
        <v>25</v>
      </c>
      <c r="E828" t="s">
        <v>1332</v>
      </c>
      <c r="H828" t="str">
        <f t="shared" si="12"/>
        <v>Flushes the FIOS HDD cache.</v>
      </c>
    </row>
    <row r="829" spans="1:24" x14ac:dyDescent="0.25">
      <c r="A829" t="s">
        <v>5251</v>
      </c>
      <c r="C829" t="s">
        <v>1333</v>
      </c>
      <c r="D829" t="s">
        <v>25</v>
      </c>
      <c r="E829" t="s">
        <v>5196</v>
      </c>
      <c r="H829" t="str">
        <f t="shared" si="12"/>
        <v>Prefetches a file: &lt;/PS3_GAME/USRDIR/filename.bin&gt;. The preftech is medium priority and persistent.</v>
      </c>
    </row>
    <row r="830" spans="1:24" x14ac:dyDescent="0.25">
      <c r="A830" t="s">
        <v>5251</v>
      </c>
      <c r="C830" t="s">
        <v>1334</v>
      </c>
      <c r="D830" t="s">
        <v>25</v>
      </c>
      <c r="E830" t="s">
        <v>5197</v>
      </c>
      <c r="H830" t="str">
        <f t="shared" si="12"/>
        <v>Prefetches a file in a pack: &lt;portal2/models/container_ride/fineDebris_part5.ani&gt;. The preftech is medium priority and non-pers</v>
      </c>
    </row>
    <row r="831" spans="1:24" x14ac:dyDescent="0.25">
      <c r="A831" t="s">
        <v>5251</v>
      </c>
      <c r="C831" t="s">
        <v>1335</v>
      </c>
      <c r="D831" t="s">
        <v>25</v>
      </c>
      <c r="E831" t="s">
        <v>1336</v>
      </c>
      <c r="H831" t="str">
        <f t="shared" si="12"/>
        <v>Displays all the prefetches currently in progress.</v>
      </c>
    </row>
    <row r="832" spans="1:24" x14ac:dyDescent="0.25">
      <c r="A832" t="s">
        <v>5251</v>
      </c>
      <c r="C832" t="s">
        <v>1337</v>
      </c>
      <c r="D832" t="s">
        <v>25</v>
      </c>
      <c r="E832" t="s">
        <v>1338</v>
      </c>
      <c r="H832" t="str">
        <f t="shared" si="12"/>
        <v>Show all files currently opened by the engine.</v>
      </c>
    </row>
    <row r="833" spans="1:24" x14ac:dyDescent="0.25">
      <c r="A833" t="s">
        <v>5251</v>
      </c>
      <c r="C833" t="s">
        <v>1339</v>
      </c>
      <c r="D833">
        <v>0</v>
      </c>
      <c r="E833" t="s">
        <v>1340</v>
      </c>
      <c r="H833" t="str">
        <f t="shared" si="12"/>
        <v>0:Off, 1:Always, 2:Not during map load</v>
      </c>
    </row>
    <row r="834" spans="1:24" x14ac:dyDescent="0.25">
      <c r="A834" t="s">
        <v>5251</v>
      </c>
      <c r="C834" t="s">
        <v>1341</v>
      </c>
      <c r="D834" t="s">
        <v>25</v>
      </c>
      <c r="E834" t="s">
        <v>1342</v>
      </c>
      <c r="H834" t="str">
        <f t="shared" si="12"/>
        <v>Display current filesystem whitelist state</v>
      </c>
    </row>
    <row r="835" spans="1:24" x14ac:dyDescent="0.25">
      <c r="A835" t="s">
        <v>5251</v>
      </c>
      <c r="C835" t="s">
        <v>1343</v>
      </c>
      <c r="D835" t="s">
        <v>25</v>
      </c>
      <c r="E835" t="s">
        <v>1344</v>
      </c>
      <c r="H835" t="str">
        <f t="shared" ref="H835:H898" si="13">IF(F835="",E835, F835 &amp; " - Original Helptext: " &amp;E835)</f>
        <v>Force the 360 to get updated files that are in your p4 changelist(s) from the host PC when running with -dvddev.</v>
      </c>
    </row>
    <row r="836" spans="1:24" x14ac:dyDescent="0.25">
      <c r="A836" t="s">
        <v>5251</v>
      </c>
      <c r="C836" t="s">
        <v>1345</v>
      </c>
      <c r="D836" t="s">
        <v>25</v>
      </c>
      <c r="E836" t="s">
        <v>1346</v>
      </c>
      <c r="H836" t="str">
        <f t="shared" si="13"/>
        <v>Set the filesystem warning level.</v>
      </c>
    </row>
    <row r="837" spans="1:24" x14ac:dyDescent="0.25">
      <c r="A837" t="s">
        <v>5251</v>
      </c>
      <c r="C837" t="s">
        <v>1347</v>
      </c>
      <c r="D837">
        <v>15</v>
      </c>
      <c r="H837">
        <f t="shared" si="13"/>
        <v>0</v>
      </c>
      <c r="I837" t="s">
        <v>2</v>
      </c>
      <c r="S837" t="s">
        <v>12</v>
      </c>
      <c r="X837" t="s">
        <v>17</v>
      </c>
    </row>
    <row r="838" spans="1:24" x14ac:dyDescent="0.25">
      <c r="A838" t="s">
        <v>5251</v>
      </c>
      <c r="C838" t="s">
        <v>1348</v>
      </c>
      <c r="D838">
        <v>1</v>
      </c>
      <c r="E838" t="s">
        <v>1349</v>
      </c>
      <c r="H838" t="str">
        <f t="shared" si="13"/>
        <v>Use new style sparks.</v>
      </c>
      <c r="K838" t="s">
        <v>4</v>
      </c>
      <c r="L838" t="s">
        <v>5</v>
      </c>
    </row>
    <row r="839" spans="1:24" x14ac:dyDescent="0.25">
      <c r="A839" t="s">
        <v>5251</v>
      </c>
      <c r="C839" t="s">
        <v>1350</v>
      </c>
      <c r="D839" t="s">
        <v>25</v>
      </c>
      <c r="E839" t="s">
        <v>1351</v>
      </c>
      <c r="H839" t="str">
        <f t="shared" si="13"/>
        <v>Spew player data.</v>
      </c>
    </row>
    <row r="840" spans="1:24" x14ac:dyDescent="0.25">
      <c r="A840" t="s">
        <v>5251</v>
      </c>
      <c r="C840" t="s">
        <v>1352</v>
      </c>
      <c r="D840" t="s">
        <v>25</v>
      </c>
      <c r="E840" t="s">
        <v>1353</v>
      </c>
      <c r="H840" t="str">
        <f t="shared" si="13"/>
        <v>Reloads the Logitech G-15 Keyboard configs.</v>
      </c>
    </row>
    <row r="841" spans="1:24" x14ac:dyDescent="0.25">
      <c r="A841" t="s">
        <v>5251</v>
      </c>
      <c r="C841" t="s">
        <v>1354</v>
      </c>
      <c r="D841">
        <v>250</v>
      </c>
      <c r="E841" t="s">
        <v>1355</v>
      </c>
      <c r="H841" t="str">
        <f t="shared" si="13"/>
        <v>Logitech G-15 Keyboard update interval.</v>
      </c>
      <c r="I841" t="s">
        <v>2</v>
      </c>
      <c r="X841" t="s">
        <v>17</v>
      </c>
    </row>
    <row r="842" spans="1:24" x14ac:dyDescent="0.25">
      <c r="A842" t="s">
        <v>5251</v>
      </c>
      <c r="C842" t="s">
        <v>1356</v>
      </c>
      <c r="D842">
        <v>0</v>
      </c>
      <c r="H842">
        <f t="shared" si="13"/>
        <v>0</v>
      </c>
      <c r="K842" t="s">
        <v>4</v>
      </c>
      <c r="L842" t="s">
        <v>5</v>
      </c>
    </row>
    <row r="843" spans="1:24" x14ac:dyDescent="0.25">
      <c r="A843" t="s">
        <v>5251</v>
      </c>
      <c r="C843" t="s">
        <v>1357</v>
      </c>
      <c r="D843">
        <v>0</v>
      </c>
      <c r="E843" t="s">
        <v>1358</v>
      </c>
      <c r="H843" t="str">
        <f t="shared" si="13"/>
        <v>Enable debug printing about constraint sounds.</v>
      </c>
      <c r="K843" t="s">
        <v>4</v>
      </c>
      <c r="L843" t="s">
        <v>5</v>
      </c>
    </row>
    <row r="844" spans="1:24" x14ac:dyDescent="0.25">
      <c r="A844" t="s">
        <v>5251</v>
      </c>
      <c r="C844" t="s">
        <v>1359</v>
      </c>
      <c r="D844">
        <v>0</v>
      </c>
      <c r="H844">
        <f t="shared" si="13"/>
        <v>0</v>
      </c>
      <c r="L844" t="s">
        <v>5</v>
      </c>
      <c r="S844" t="s">
        <v>12</v>
      </c>
      <c r="X844" t="s">
        <v>17</v>
      </c>
    </row>
    <row r="845" spans="1:24" x14ac:dyDescent="0.25">
      <c r="A845" t="s">
        <v>5251</v>
      </c>
      <c r="C845" t="s">
        <v>1360</v>
      </c>
      <c r="D845">
        <v>0</v>
      </c>
      <c r="H845">
        <f t="shared" si="13"/>
        <v>0</v>
      </c>
      <c r="L845" t="s">
        <v>5</v>
      </c>
      <c r="X845" t="s">
        <v>17</v>
      </c>
    </row>
    <row r="846" spans="1:24" x14ac:dyDescent="0.25">
      <c r="A846" t="s">
        <v>5251</v>
      </c>
      <c r="C846" t="s">
        <v>1361</v>
      </c>
      <c r="D846">
        <v>0</v>
      </c>
      <c r="H846">
        <f t="shared" si="13"/>
        <v>0</v>
      </c>
      <c r="K846" t="s">
        <v>4</v>
      </c>
      <c r="L846" t="s">
        <v>5</v>
      </c>
    </row>
    <row r="847" spans="1:24" x14ac:dyDescent="0.25">
      <c r="A847" t="s">
        <v>5251</v>
      </c>
      <c r="C847" t="s">
        <v>1362</v>
      </c>
      <c r="D847">
        <v>0</v>
      </c>
      <c r="H847">
        <f t="shared" si="13"/>
        <v>0</v>
      </c>
      <c r="K847" t="s">
        <v>4</v>
      </c>
      <c r="L847" t="s">
        <v>5</v>
      </c>
    </row>
    <row r="848" spans="1:24" x14ac:dyDescent="0.25">
      <c r="A848" t="s">
        <v>5251</v>
      </c>
      <c r="C848" t="s">
        <v>1363</v>
      </c>
      <c r="D848">
        <v>0</v>
      </c>
      <c r="H848">
        <f t="shared" si="13"/>
        <v>0</v>
      </c>
      <c r="K848" t="s">
        <v>4</v>
      </c>
      <c r="L848" t="s">
        <v>5</v>
      </c>
    </row>
    <row r="849" spans="1:24" x14ac:dyDescent="0.25">
      <c r="A849" t="s">
        <v>5251</v>
      </c>
      <c r="C849" t="s">
        <v>1364</v>
      </c>
      <c r="D849">
        <v>0</v>
      </c>
      <c r="H849">
        <f t="shared" si="13"/>
        <v>0</v>
      </c>
      <c r="K849" t="s">
        <v>4</v>
      </c>
      <c r="L849" t="s">
        <v>5</v>
      </c>
    </row>
    <row r="850" spans="1:24" x14ac:dyDescent="0.25">
      <c r="A850" t="s">
        <v>5251</v>
      </c>
      <c r="C850" t="s">
        <v>1365</v>
      </c>
      <c r="D850">
        <v>0</v>
      </c>
      <c r="H850">
        <f t="shared" si="13"/>
        <v>0</v>
      </c>
      <c r="K850" t="s">
        <v>4</v>
      </c>
      <c r="L850" t="s">
        <v>5</v>
      </c>
    </row>
    <row r="851" spans="1:24" x14ac:dyDescent="0.25">
      <c r="A851" t="s">
        <v>5251</v>
      </c>
      <c r="C851" t="s">
        <v>1366</v>
      </c>
      <c r="D851">
        <v>100</v>
      </c>
      <c r="H851">
        <f t="shared" si="13"/>
        <v>0</v>
      </c>
      <c r="K851" t="s">
        <v>4</v>
      </c>
      <c r="L851" t="s">
        <v>5</v>
      </c>
    </row>
    <row r="852" spans="1:24" x14ac:dyDescent="0.25">
      <c r="A852" t="s">
        <v>5253</v>
      </c>
      <c r="C852" t="s">
        <v>1367</v>
      </c>
      <c r="D852">
        <v>0</v>
      </c>
      <c r="E852" t="s">
        <v>1368</v>
      </c>
      <c r="H852" t="str">
        <f t="shared" si="13"/>
        <v>The current game mode (based on game type). See GameModes.txt.</v>
      </c>
      <c r="K852" t="s">
        <v>4</v>
      </c>
      <c r="S852" t="s">
        <v>12</v>
      </c>
      <c r="X852" t="s">
        <v>17</v>
      </c>
    </row>
    <row r="853" spans="1:24" x14ac:dyDescent="0.25">
      <c r="A853" t="s">
        <v>5253</v>
      </c>
      <c r="C853" t="s">
        <v>1369</v>
      </c>
      <c r="D853">
        <v>0</v>
      </c>
      <c r="E853" t="s">
        <v>1370</v>
      </c>
      <c r="H853" t="str">
        <f t="shared" si="13"/>
        <v>The current game type. See GameModes.txt.</v>
      </c>
      <c r="K853" t="s">
        <v>4</v>
      </c>
      <c r="S853" t="s">
        <v>12</v>
      </c>
      <c r="X853" t="s">
        <v>17</v>
      </c>
    </row>
    <row r="854" spans="1:24" x14ac:dyDescent="0.25">
      <c r="A854" t="s">
        <v>5251</v>
      </c>
      <c r="C854" t="s">
        <v>1371</v>
      </c>
      <c r="D854" t="s">
        <v>25</v>
      </c>
      <c r="E854" t="s">
        <v>1372</v>
      </c>
      <c r="H854" t="str">
        <f t="shared" si="13"/>
        <v>Gives a list of all currently open lessons.</v>
      </c>
    </row>
    <row r="855" spans="1:24" x14ac:dyDescent="0.25">
      <c r="A855" t="s">
        <v>5251</v>
      </c>
      <c r="C855" t="s">
        <v>1373</v>
      </c>
      <c r="D855">
        <v>1</v>
      </c>
      <c r="E855" t="s">
        <v>1374</v>
      </c>
      <c r="H855" t="str">
        <f t="shared" si="13"/>
        <v>Display in game lessons that teach new players.</v>
      </c>
      <c r="I855" t="s">
        <v>2</v>
      </c>
      <c r="X855" t="s">
        <v>17</v>
      </c>
    </row>
    <row r="856" spans="1:24" x14ac:dyDescent="0.25">
      <c r="A856" t="s">
        <v>5251</v>
      </c>
      <c r="C856" t="s">
        <v>1375</v>
      </c>
      <c r="D856">
        <v>0</v>
      </c>
      <c r="E856" t="s">
        <v>1376</v>
      </c>
      <c r="H856" t="str">
        <f t="shared" si="13"/>
        <v>Set to 1 and the game instructor will run EVERY scripted command to uncover errors.</v>
      </c>
      <c r="L856" t="s">
        <v>5</v>
      </c>
      <c r="X856" t="s">
        <v>17</v>
      </c>
    </row>
    <row r="857" spans="1:24" x14ac:dyDescent="0.25">
      <c r="A857" t="s">
        <v>5251</v>
      </c>
      <c r="C857" t="s">
        <v>1377</v>
      </c>
      <c r="D857" t="s">
        <v>25</v>
      </c>
      <c r="E857" t="s">
        <v>1378</v>
      </c>
      <c r="H857" t="str">
        <f t="shared" si="13"/>
        <v>Shuts down all open lessons and reloads them from the script file.</v>
      </c>
    </row>
    <row r="858" spans="1:24" x14ac:dyDescent="0.25">
      <c r="A858" t="s">
        <v>5251</v>
      </c>
      <c r="C858" t="s">
        <v>1379</v>
      </c>
      <c r="D858" t="s">
        <v>25</v>
      </c>
      <c r="E858" t="s">
        <v>1380</v>
      </c>
      <c r="H858" t="str">
        <f t="shared" si="13"/>
        <v>Resets all display and success counts to zero.</v>
      </c>
    </row>
    <row r="859" spans="1:24" x14ac:dyDescent="0.25">
      <c r="A859" t="s">
        <v>5251</v>
      </c>
      <c r="C859" t="s">
        <v>1381</v>
      </c>
      <c r="D859">
        <v>1</v>
      </c>
      <c r="E859" t="s">
        <v>1382</v>
      </c>
      <c r="H859" t="str">
        <f t="shared" si="13"/>
        <v>Set to 0 to disable save/load of open lesson opportunities in single player.</v>
      </c>
      <c r="L859" t="s">
        <v>5</v>
      </c>
      <c r="X859" t="s">
        <v>17</v>
      </c>
    </row>
    <row r="860" spans="1:24" x14ac:dyDescent="0.25">
      <c r="A860" t="s">
        <v>5251</v>
      </c>
      <c r="C860" t="s">
        <v>1383</v>
      </c>
      <c r="D860">
        <v>0</v>
      </c>
      <c r="E860" t="s">
        <v>1384</v>
      </c>
      <c r="H860" t="str">
        <f t="shared" si="13"/>
        <v>Set to 1 for standard debugging or 2 (in combo with gameinstructor_verbose_lesson) to show update actions.</v>
      </c>
      <c r="L860" t="s">
        <v>5</v>
      </c>
      <c r="X860" t="s">
        <v>17</v>
      </c>
    </row>
    <row r="861" spans="1:24" x14ac:dyDescent="0.25">
      <c r="A861" t="s">
        <v>5251</v>
      </c>
      <c r="C861" t="s">
        <v>1385</v>
      </c>
      <c r="D861">
        <v>0</v>
      </c>
      <c r="E861" t="s">
        <v>1386</v>
      </c>
      <c r="H861" t="str">
        <f t="shared" si="13"/>
        <v>Display more verbose information for lessons have this name.</v>
      </c>
      <c r="L861" t="s">
        <v>5</v>
      </c>
      <c r="X861" t="s">
        <v>17</v>
      </c>
    </row>
    <row r="862" spans="1:24" x14ac:dyDescent="0.25">
      <c r="A862" t="s">
        <v>5251</v>
      </c>
      <c r="C862" t="s">
        <v>1387</v>
      </c>
      <c r="D862" t="s">
        <v>25</v>
      </c>
      <c r="E862" t="s">
        <v>1388</v>
      </c>
      <c r="H862" t="str">
        <f t="shared" si="13"/>
        <v>Issue game menu command.</v>
      </c>
    </row>
    <row r="863" spans="1:24" x14ac:dyDescent="0.25">
      <c r="A863" t="s">
        <v>5251</v>
      </c>
      <c r="C863" t="s">
        <v>1389</v>
      </c>
      <c r="D863" t="s">
        <v>25</v>
      </c>
      <c r="H863">
        <f t="shared" si="13"/>
        <v>0</v>
      </c>
    </row>
    <row r="864" spans="1:24" x14ac:dyDescent="0.25">
      <c r="A864" t="s">
        <v>5251</v>
      </c>
      <c r="C864" t="s">
        <v>1390</v>
      </c>
      <c r="D864" t="s">
        <v>25</v>
      </c>
      <c r="H864">
        <f t="shared" si="13"/>
        <v>0</v>
      </c>
    </row>
    <row r="865" spans="1:24" x14ac:dyDescent="0.25">
      <c r="A865" t="s">
        <v>5251</v>
      </c>
      <c r="C865" t="s">
        <v>1391</v>
      </c>
      <c r="D865" t="s">
        <v>25</v>
      </c>
      <c r="H865">
        <f t="shared" si="13"/>
        <v>0</v>
      </c>
    </row>
    <row r="866" spans="1:24" x14ac:dyDescent="0.25">
      <c r="A866" t="s">
        <v>5251</v>
      </c>
      <c r="C866" t="s">
        <v>1392</v>
      </c>
      <c r="D866" t="s">
        <v>25</v>
      </c>
      <c r="H866">
        <f t="shared" si="13"/>
        <v>0</v>
      </c>
    </row>
    <row r="867" spans="1:24" x14ac:dyDescent="0.25">
      <c r="A867" t="s">
        <v>5251</v>
      </c>
      <c r="C867" t="s">
        <v>1393</v>
      </c>
      <c r="D867" t="s">
        <v>25</v>
      </c>
      <c r="H867">
        <f t="shared" si="13"/>
        <v>0</v>
      </c>
    </row>
    <row r="868" spans="1:24" x14ac:dyDescent="0.25">
      <c r="A868" t="s">
        <v>5251</v>
      </c>
      <c r="C868" t="s">
        <v>1394</v>
      </c>
      <c r="D868" t="s">
        <v>25</v>
      </c>
      <c r="H868">
        <f t="shared" si="13"/>
        <v>0</v>
      </c>
    </row>
    <row r="869" spans="1:24" x14ac:dyDescent="0.25">
      <c r="A869" t="s">
        <v>5252</v>
      </c>
      <c r="C869" t="s">
        <v>1395</v>
      </c>
      <c r="D869" t="s">
        <v>25</v>
      </c>
      <c r="E869" t="s">
        <v>1396</v>
      </c>
      <c r="H869" t="str">
        <f t="shared" si="13"/>
        <v>Shows the game UI</v>
      </c>
    </row>
    <row r="870" spans="1:24" x14ac:dyDescent="0.25">
      <c r="A870" t="s">
        <v>5252</v>
      </c>
      <c r="C870" t="s">
        <v>1397</v>
      </c>
      <c r="D870" t="s">
        <v>25</v>
      </c>
      <c r="E870" t="s">
        <v>1398</v>
      </c>
      <c r="H870" t="str">
        <f t="shared" si="13"/>
        <v>Escape key allowed to hide game UI</v>
      </c>
    </row>
    <row r="871" spans="1:24" x14ac:dyDescent="0.25">
      <c r="A871" t="s">
        <v>5252</v>
      </c>
      <c r="C871" t="s">
        <v>1399</v>
      </c>
      <c r="D871" t="s">
        <v>25</v>
      </c>
      <c r="E871" t="s">
        <v>1400</v>
      </c>
      <c r="H871" t="str">
        <f t="shared" si="13"/>
        <v>Escape key allowed to show game UI</v>
      </c>
    </row>
    <row r="872" spans="1:24" x14ac:dyDescent="0.25">
      <c r="A872" t="s">
        <v>5252</v>
      </c>
      <c r="C872" t="s">
        <v>1401</v>
      </c>
      <c r="D872" t="s">
        <v>25</v>
      </c>
      <c r="E872" t="s">
        <v>1402</v>
      </c>
      <c r="H872" t="str">
        <f t="shared" si="13"/>
        <v>Hides the game UI</v>
      </c>
    </row>
    <row r="873" spans="1:24" x14ac:dyDescent="0.25">
      <c r="A873" t="s">
        <v>5252</v>
      </c>
      <c r="C873" t="s">
        <v>1403</v>
      </c>
      <c r="D873" t="s">
        <v>25</v>
      </c>
      <c r="E873" t="s">
        <v>1404</v>
      </c>
      <c r="H873" t="str">
        <f t="shared" si="13"/>
        <v>Escape key doesn't hide game UI</v>
      </c>
    </row>
    <row r="874" spans="1:24" x14ac:dyDescent="0.25">
      <c r="A874" t="s">
        <v>5252</v>
      </c>
      <c r="C874" t="s">
        <v>1405</v>
      </c>
      <c r="D874" t="s">
        <v>25</v>
      </c>
      <c r="E874" t="s">
        <v>1406</v>
      </c>
      <c r="H874" t="str">
        <f t="shared" si="13"/>
        <v>Escape key doesn't show game UI</v>
      </c>
    </row>
    <row r="875" spans="1:24" x14ac:dyDescent="0.25">
      <c r="A875" t="s">
        <v>5251</v>
      </c>
      <c r="C875" t="s">
        <v>1407</v>
      </c>
      <c r="D875" t="s">
        <v>25</v>
      </c>
      <c r="E875" t="s">
        <v>1408</v>
      </c>
      <c r="H875" t="str">
        <f t="shared" si="13"/>
        <v>dump position and angles to the console</v>
      </c>
    </row>
    <row r="876" spans="1:24" x14ac:dyDescent="0.25">
      <c r="A876" t="s">
        <v>5251</v>
      </c>
      <c r="C876" t="s">
        <v>1409</v>
      </c>
      <c r="D876" t="s">
        <v>25</v>
      </c>
      <c r="E876" t="s">
        <v>1410</v>
      </c>
      <c r="H876" t="str">
        <f t="shared" si="13"/>
        <v>dump origin and angles to the console</v>
      </c>
    </row>
    <row r="877" spans="1:24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  <c r="H877" t="str">
        <f t="shared" si="13"/>
        <v>Give item to player. 	Arguments: &lt;item_name&gt;</v>
      </c>
    </row>
    <row r="878" spans="1:24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  <c r="H878" t="str">
        <f t="shared" si="13"/>
        <v>Give a supply of ammo for current weapon..</v>
      </c>
    </row>
    <row r="879" spans="1:24" x14ac:dyDescent="0.25">
      <c r="A879" t="s">
        <v>5251</v>
      </c>
      <c r="C879" t="s">
        <v>1414</v>
      </c>
      <c r="D879">
        <v>0</v>
      </c>
      <c r="E879" t="s">
        <v>1415</v>
      </c>
      <c r="H879" t="str">
        <f t="shared" si="13"/>
        <v>Clear the back buffer to random colors every frame. Helps spot open seams in geometry.</v>
      </c>
      <c r="L879" t="s">
        <v>5</v>
      </c>
      <c r="X879" t="s">
        <v>17</v>
      </c>
    </row>
    <row r="880" spans="1:24" x14ac:dyDescent="0.25">
      <c r="A880" t="s">
        <v>5251</v>
      </c>
      <c r="C880" t="s">
        <v>1416</v>
      </c>
      <c r="D880">
        <v>0</v>
      </c>
      <c r="E880" t="s">
        <v>1417</v>
      </c>
      <c r="H880" t="str">
        <f t="shared" si="13"/>
        <v>Map/mode-specific responserules criteria used by calls to UTIL_GlobalChatter</v>
      </c>
      <c r="K880" t="s">
        <v>4</v>
      </c>
    </row>
    <row r="881" spans="1:24" x14ac:dyDescent="0.25">
      <c r="A881" t="s">
        <v>5251</v>
      </c>
      <c r="C881" t="s">
        <v>1418</v>
      </c>
      <c r="D881">
        <v>0</v>
      </c>
      <c r="E881" t="s">
        <v>1419</v>
      </c>
      <c r="H881" t="str">
        <f t="shared" si="13"/>
        <v>Enables the global event log system</v>
      </c>
      <c r="K881" t="s">
        <v>4</v>
      </c>
      <c r="L881" t="s">
        <v>5</v>
      </c>
    </row>
    <row r="882" spans="1:24" x14ac:dyDescent="0.25">
      <c r="A882" t="s">
        <v>5251</v>
      </c>
      <c r="C882" t="s">
        <v>1420</v>
      </c>
      <c r="D882" t="s">
        <v>25</v>
      </c>
      <c r="E882" t="s">
        <v>1421</v>
      </c>
      <c r="H882" t="str">
        <f t="shared" si="13"/>
        <v>global_set &lt;globalname&gt; &lt;state&gt;: Sets the state of the given env_global (0 = OFF, 1 = ON, 2 = DEAD).</v>
      </c>
    </row>
    <row r="883" spans="1:24" x14ac:dyDescent="0.25">
      <c r="A883" t="s">
        <v>5251</v>
      </c>
      <c r="C883" t="s">
        <v>1422</v>
      </c>
      <c r="D883">
        <v>1</v>
      </c>
      <c r="E883" t="s">
        <v>1423</v>
      </c>
      <c r="H883" t="str">
        <f t="shared" si="13"/>
        <v>Enable entity outline glow effects.</v>
      </c>
      <c r="L883" t="s">
        <v>5</v>
      </c>
      <c r="X883" t="s">
        <v>17</v>
      </c>
    </row>
    <row r="884" spans="1:24" x14ac:dyDescent="0.25">
      <c r="A884" t="s">
        <v>5251</v>
      </c>
      <c r="C884" t="s">
        <v>1424</v>
      </c>
      <c r="D884">
        <v>6</v>
      </c>
      <c r="E884" t="s">
        <v>1425</v>
      </c>
      <c r="H884" t="str">
        <f t="shared" si="13"/>
        <v>Width of glow outline effect in screen space.</v>
      </c>
      <c r="L884" t="s">
        <v>5</v>
      </c>
      <c r="X884" t="s">
        <v>17</v>
      </c>
    </row>
    <row r="885" spans="1:24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  <c r="H885" t="str">
        <f t="shared" si="13"/>
        <v>Toggle. Player becomes invulnerable.</v>
      </c>
    </row>
    <row r="886" spans="1:24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  <c r="H886" t="str">
        <f t="shared" si="13"/>
        <v>Toggle. All players become invulnerable.</v>
      </c>
    </row>
    <row r="887" spans="1:24" x14ac:dyDescent="0.25">
      <c r="A887" t="s">
        <v>5251</v>
      </c>
      <c r="C887" t="s">
        <v>1430</v>
      </c>
      <c r="D887">
        <v>0</v>
      </c>
      <c r="E887" t="s">
        <v>1431</v>
      </c>
      <c r="H887" t="str">
        <f t="shared" si="13"/>
        <v>Enables GOTV theater mode for the specified container, setting it to 'live' will play top live matches</v>
      </c>
      <c r="X887" t="s">
        <v>17</v>
      </c>
    </row>
    <row r="888" spans="1:24" x14ac:dyDescent="0.25">
      <c r="A888" t="s">
        <v>5251</v>
      </c>
      <c r="B888" t="s">
        <v>25</v>
      </c>
      <c r="C888" t="s">
        <v>1432</v>
      </c>
      <c r="D888" t="s">
        <v>25</v>
      </c>
      <c r="H888">
        <f t="shared" si="13"/>
        <v>0</v>
      </c>
    </row>
    <row r="889" spans="1:24" x14ac:dyDescent="0.25">
      <c r="A889" t="s">
        <v>5251</v>
      </c>
      <c r="B889" t="s">
        <v>25</v>
      </c>
      <c r="C889" t="s">
        <v>1433</v>
      </c>
      <c r="D889" t="s">
        <v>25</v>
      </c>
      <c r="H889">
        <f t="shared" si="13"/>
        <v>0</v>
      </c>
    </row>
    <row r="890" spans="1:24" x14ac:dyDescent="0.25">
      <c r="A890" t="s">
        <v>5251</v>
      </c>
      <c r="B890" t="s">
        <v>25</v>
      </c>
      <c r="C890" t="s">
        <v>1434</v>
      </c>
      <c r="D890" t="s">
        <v>25</v>
      </c>
      <c r="H890">
        <f t="shared" si="13"/>
        <v>0</v>
      </c>
    </row>
    <row r="891" spans="1:24" x14ac:dyDescent="0.25">
      <c r="A891" t="s">
        <v>5251</v>
      </c>
      <c r="B891" t="s">
        <v>25</v>
      </c>
      <c r="C891" t="s">
        <v>1435</v>
      </c>
      <c r="D891" t="s">
        <v>25</v>
      </c>
      <c r="H891">
        <f t="shared" si="13"/>
        <v>0</v>
      </c>
    </row>
    <row r="892" spans="1:24" x14ac:dyDescent="0.25">
      <c r="A892" t="s">
        <v>5251</v>
      </c>
      <c r="B892" t="s">
        <v>25</v>
      </c>
      <c r="C892" t="s">
        <v>1436</v>
      </c>
      <c r="D892" t="s">
        <v>25</v>
      </c>
      <c r="H892">
        <f t="shared" si="13"/>
        <v>0</v>
      </c>
    </row>
    <row r="893" spans="1:24" x14ac:dyDescent="0.25">
      <c r="A893" t="s">
        <v>5251</v>
      </c>
      <c r="B893" t="s">
        <v>25</v>
      </c>
      <c r="C893" t="s">
        <v>1437</v>
      </c>
      <c r="D893" t="s">
        <v>25</v>
      </c>
      <c r="H893">
        <f t="shared" si="13"/>
        <v>0</v>
      </c>
    </row>
    <row r="894" spans="1:24" x14ac:dyDescent="0.25">
      <c r="A894" t="s">
        <v>5251</v>
      </c>
      <c r="C894" t="s">
        <v>1438</v>
      </c>
      <c r="D894" t="s">
        <v>25</v>
      </c>
      <c r="E894" t="s">
        <v>1439</v>
      </c>
      <c r="H894" t="str">
        <f t="shared" si="13"/>
        <v>Display ground entity list &lt;index&gt;</v>
      </c>
    </row>
    <row r="895" spans="1:24" x14ac:dyDescent="0.25">
      <c r="A895" t="s">
        <v>5251</v>
      </c>
      <c r="C895" t="s">
        <v>1440</v>
      </c>
      <c r="D895" t="s">
        <v>25</v>
      </c>
      <c r="E895" t="s">
        <v>1310</v>
      </c>
      <c r="H895" t="str">
        <f t="shared" si="13"/>
        <v>Updates the entity's position/angles when in edit mode</v>
      </c>
    </row>
    <row r="896" spans="1:24" x14ac:dyDescent="0.25">
      <c r="A896" t="s">
        <v>5251</v>
      </c>
      <c r="C896" t="s">
        <v>1441</v>
      </c>
      <c r="D896" t="s">
        <v>25</v>
      </c>
      <c r="E896" t="s">
        <v>1442</v>
      </c>
      <c r="H896" t="str">
        <f t="shared" si="13"/>
        <v>Updates entities in the map that can safely be updated (don't have parents or are affected by constraints). Also excludes entit</v>
      </c>
    </row>
    <row r="897" spans="1:25" x14ac:dyDescent="0.25">
      <c r="A897" t="s">
        <v>5253</v>
      </c>
      <c r="B897" t="s">
        <v>5257</v>
      </c>
      <c r="C897" t="s">
        <v>1443</v>
      </c>
      <c r="D897">
        <v>1</v>
      </c>
      <c r="H897">
        <f t="shared" si="13"/>
        <v>0</v>
      </c>
      <c r="S897" t="s">
        <v>12</v>
      </c>
      <c r="X897" t="s">
        <v>17</v>
      </c>
    </row>
    <row r="898" spans="1:25" x14ac:dyDescent="0.25">
      <c r="A898" t="s">
        <v>5253</v>
      </c>
      <c r="B898" t="s">
        <v>5257</v>
      </c>
      <c r="C898" t="s">
        <v>1444</v>
      </c>
      <c r="D898">
        <v>50</v>
      </c>
      <c r="H898">
        <f t="shared" si="13"/>
        <v>0</v>
      </c>
      <c r="S898" t="s">
        <v>12</v>
      </c>
      <c r="X898" t="s">
        <v>17</v>
      </c>
    </row>
    <row r="899" spans="1:25" x14ac:dyDescent="0.25">
      <c r="A899" t="s">
        <v>5253</v>
      </c>
      <c r="B899" t="s">
        <v>5257</v>
      </c>
      <c r="C899" t="s">
        <v>1445</v>
      </c>
      <c r="D899">
        <v>1</v>
      </c>
      <c r="H899">
        <f t="shared" ref="H899:H962" si="14">IF(F899="",E899, F899 &amp; " - Original Helptext: " &amp;E899)</f>
        <v>0</v>
      </c>
      <c r="K899" t="s">
        <v>4</v>
      </c>
      <c r="S899" t="s">
        <v>12</v>
      </c>
    </row>
    <row r="900" spans="1:25" x14ac:dyDescent="0.25">
      <c r="A900" t="s">
        <v>5253</v>
      </c>
      <c r="B900" t="s">
        <v>5257</v>
      </c>
      <c r="C900" t="s">
        <v>1446</v>
      </c>
      <c r="D900">
        <v>1</v>
      </c>
      <c r="H900">
        <f t="shared" si="14"/>
        <v>0</v>
      </c>
      <c r="S900" t="s">
        <v>12</v>
      </c>
      <c r="X900" t="s">
        <v>17</v>
      </c>
    </row>
    <row r="901" spans="1:25" x14ac:dyDescent="0.25">
      <c r="A901" t="s">
        <v>5253</v>
      </c>
      <c r="B901" t="s">
        <v>5257</v>
      </c>
      <c r="C901" t="s">
        <v>1447</v>
      </c>
      <c r="D901">
        <v>0</v>
      </c>
      <c r="H901">
        <f t="shared" si="14"/>
        <v>0</v>
      </c>
      <c r="S901" t="s">
        <v>12</v>
      </c>
      <c r="X901" t="s">
        <v>17</v>
      </c>
    </row>
    <row r="902" spans="1:25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  <c r="H902" t="str">
        <f t="shared" si="14"/>
        <v>Force heartbeat of master servers</v>
      </c>
    </row>
    <row r="903" spans="1:25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  <c r="H903" t="str">
        <f t="shared" si="14"/>
        <v>Find help about a convar/concommand.</v>
      </c>
    </row>
    <row r="904" spans="1:25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  <c r="H904" t="str">
        <f t="shared" si="14"/>
        <v>Hide the console.</v>
      </c>
    </row>
    <row r="905" spans="1:25" x14ac:dyDescent="0.25">
      <c r="A905" t="s">
        <v>5253</v>
      </c>
      <c r="B905" t="s">
        <v>5258</v>
      </c>
      <c r="C905" t="s">
        <v>1454</v>
      </c>
      <c r="D905">
        <v>0</v>
      </c>
      <c r="H905">
        <f t="shared" si="14"/>
        <v>0</v>
      </c>
      <c r="L905" t="s">
        <v>5</v>
      </c>
      <c r="X905" t="s">
        <v>17</v>
      </c>
      <c r="Y905" t="s">
        <v>18</v>
      </c>
    </row>
    <row r="906" spans="1:25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  <c r="H906" t="str">
        <f t="shared" si="14"/>
        <v>Hides the overview map</v>
      </c>
    </row>
    <row r="907" spans="1:25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  <c r="H907" t="str">
        <f t="shared" si="14"/>
        <v>Hides a viewport panel &lt;name&gt;</v>
      </c>
    </row>
    <row r="908" spans="1:25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  <c r="H908" t="str">
        <f t="shared" si="14"/>
        <v>Hides HUD radar</v>
      </c>
    </row>
    <row r="909" spans="1:25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  <c r="H909" t="str">
        <f t="shared" si="14"/>
        <v>Forcibly hide score panel</v>
      </c>
    </row>
    <row r="910" spans="1:25" x14ac:dyDescent="0.25">
      <c r="A910" t="s">
        <v>5252</v>
      </c>
      <c r="C910" t="s">
        <v>1463</v>
      </c>
      <c r="D910" t="s">
        <v>25</v>
      </c>
      <c r="E910" t="s">
        <v>1464</v>
      </c>
      <c r="H910" t="str">
        <f t="shared" si="14"/>
        <v>Show Killer Replay status and some statistics, works on listen or dedicated server.</v>
      </c>
    </row>
    <row r="911" spans="1:25" x14ac:dyDescent="0.25">
      <c r="A911" t="s">
        <v>5251</v>
      </c>
      <c r="C911" t="s">
        <v>1465</v>
      </c>
      <c r="D911" t="s">
        <v>25</v>
      </c>
      <c r="E911" t="s">
        <v>1466</v>
      </c>
      <c r="H911" t="str">
        <f t="shared" si="14"/>
        <v>Dumps time spent idle in previous frames in ms(dedicated only).</v>
      </c>
    </row>
    <row r="912" spans="1:25" x14ac:dyDescent="0.25">
      <c r="A912" t="s">
        <v>5251</v>
      </c>
      <c r="C912" t="s">
        <v>1467</v>
      </c>
      <c r="D912">
        <v>12</v>
      </c>
      <c r="E912" t="s">
        <v>1468</v>
      </c>
      <c r="H912" t="str">
        <f t="shared" si="14"/>
        <v>Memory threshold below which the host should flush caches between server instances</v>
      </c>
    </row>
    <row r="913" spans="1:19" x14ac:dyDescent="0.25">
      <c r="A913" t="s">
        <v>5251</v>
      </c>
      <c r="C913" t="s">
        <v>1469</v>
      </c>
      <c r="D913">
        <v>0</v>
      </c>
      <c r="E913" t="s">
        <v>1470</v>
      </c>
      <c r="H913" t="str">
        <f t="shared" si="14"/>
        <v>Set to lock per-frame time elapse.</v>
      </c>
      <c r="L913" t="s">
        <v>5</v>
      </c>
      <c r="S913" t="s">
        <v>12</v>
      </c>
    </row>
    <row r="914" spans="1:19" x14ac:dyDescent="0.25">
      <c r="A914" t="s">
        <v>5252</v>
      </c>
      <c r="C914" t="s">
        <v>1471</v>
      </c>
      <c r="D914">
        <v>1</v>
      </c>
      <c r="E914" t="s">
        <v>1472</v>
      </c>
      <c r="H914" t="str">
        <f t="shared" si="14"/>
        <v>How server info gets disclosed in server queries: 0 - query disabled, 1 - show only general info, 2 - show full info</v>
      </c>
    </row>
    <row r="915" spans="1:19" x14ac:dyDescent="0.25">
      <c r="A915" t="s">
        <v>5252</v>
      </c>
      <c r="C915" t="s">
        <v>1473</v>
      </c>
      <c r="D915">
        <v>0</v>
      </c>
      <c r="E915" t="s">
        <v>1474</v>
      </c>
      <c r="H915" t="str">
        <f t="shared" si="14"/>
        <v>Current map name.</v>
      </c>
    </row>
    <row r="916" spans="1:19" x14ac:dyDescent="0.25">
      <c r="A916" t="s">
        <v>5252</v>
      </c>
      <c r="C916" t="s">
        <v>1475</v>
      </c>
      <c r="D916">
        <v>1</v>
      </c>
      <c r="E916" t="s">
        <v>1476</v>
      </c>
      <c r="H916" t="str">
        <f t="shared" si="14"/>
        <v>Whether hostname is recorded in game events and GOTV.</v>
      </c>
    </row>
    <row r="917" spans="1:19" x14ac:dyDescent="0.25">
      <c r="A917" t="s">
        <v>5252</v>
      </c>
      <c r="C917" t="s">
        <v>1477</v>
      </c>
      <c r="D917">
        <v>1</v>
      </c>
      <c r="E917" t="s">
        <v>1478</v>
      </c>
      <c r="H917" t="str">
        <f t="shared" si="14"/>
        <v>How players are disclosed in server queries: 0 - query disabled, 1 - show only max players count, 2 - show all players</v>
      </c>
    </row>
    <row r="918" spans="1:19" x14ac:dyDescent="0.25">
      <c r="A918" t="s">
        <v>5252</v>
      </c>
      <c r="C918" t="s">
        <v>1479</v>
      </c>
      <c r="D918" t="s">
        <v>25</v>
      </c>
      <c r="E918" t="s">
        <v>1480</v>
      </c>
      <c r="H918" t="str">
        <f t="shared" si="14"/>
        <v>reset config (for testing) with param as splitscreen index.</v>
      </c>
    </row>
    <row r="919" spans="1:19" x14ac:dyDescent="0.25">
      <c r="A919" t="s">
        <v>5252</v>
      </c>
      <c r="C919" t="s">
        <v>1481</v>
      </c>
      <c r="D919">
        <v>1</v>
      </c>
      <c r="E919" t="s">
        <v>1482</v>
      </c>
      <c r="H919" t="str">
        <f t="shared" si="14"/>
        <v>How server rules get disclosed in server queries: 0 - query disabled, 1 - query enabled</v>
      </c>
    </row>
    <row r="920" spans="1:19" x14ac:dyDescent="0.25">
      <c r="A920" t="s">
        <v>5252</v>
      </c>
      <c r="C920" t="s">
        <v>1483</v>
      </c>
      <c r="D920" t="s">
        <v>25</v>
      </c>
      <c r="E920" t="s">
        <v>1484</v>
      </c>
      <c r="H920" t="str">
        <f t="shared" si="14"/>
        <v>Run off some time without rendering/updating sounds</v>
      </c>
    </row>
    <row r="921" spans="1:19" x14ac:dyDescent="0.25">
      <c r="A921" t="s">
        <v>5252</v>
      </c>
      <c r="C921" t="s">
        <v>1485</v>
      </c>
      <c r="D921">
        <v>0</v>
      </c>
      <c r="E921" t="s">
        <v>1486</v>
      </c>
      <c r="H921" t="str">
        <f t="shared" si="14"/>
        <v>Force the host to sleep a certain number of milliseconds each frame.</v>
      </c>
      <c r="L921" t="s">
        <v>5</v>
      </c>
    </row>
    <row r="922" spans="1:19" x14ac:dyDescent="0.25">
      <c r="A922" t="s">
        <v>5252</v>
      </c>
      <c r="C922" t="s">
        <v>1487</v>
      </c>
      <c r="D922" t="s">
        <v>25</v>
      </c>
      <c r="E922" t="s">
        <v>1488</v>
      </c>
      <c r="H922" t="str">
        <f t="shared" si="14"/>
        <v>Spew CPU timer jitter for the last 128 frames in microseconds (dedicated only)</v>
      </c>
    </row>
    <row r="923" spans="1:19" x14ac:dyDescent="0.25">
      <c r="A923" t="s">
        <v>5252</v>
      </c>
      <c r="C923" t="s">
        <v>1489</v>
      </c>
      <c r="D923">
        <v>1</v>
      </c>
      <c r="E923" t="s">
        <v>1490</v>
      </c>
      <c r="H923" t="str">
        <f t="shared" si="14"/>
        <v>Prescale the clock by this amount.</v>
      </c>
      <c r="L923" t="s">
        <v>5</v>
      </c>
      <c r="S923" t="s">
        <v>12</v>
      </c>
    </row>
    <row r="924" spans="1:19" x14ac:dyDescent="0.25">
      <c r="A924" t="s">
        <v>5252</v>
      </c>
      <c r="C924" t="s">
        <v>1491</v>
      </c>
      <c r="D924" t="s">
        <v>25</v>
      </c>
      <c r="E924" t="s">
        <v>1492</v>
      </c>
      <c r="F924" t="s">
        <v>5514</v>
      </c>
      <c r="G924" t="s">
        <v>5251</v>
      </c>
      <c r="H924" t="str">
        <f t="shared" si="14"/>
        <v>The servers workshop map collection. See https://steamcommunity.com/sharedfiles/filedetails/?id=%STEAM_WORKSHOP_COLLECTION_ID% - Original Helptext: Get the latest version of maps in a workshop collection and host them as a maplist.</v>
      </c>
    </row>
    <row r="925" spans="1:19" x14ac:dyDescent="0.25">
      <c r="A925" t="s">
        <v>5252</v>
      </c>
      <c r="C925" t="s">
        <v>1493</v>
      </c>
      <c r="D925" t="s">
        <v>25</v>
      </c>
      <c r="E925" t="s">
        <v>1494</v>
      </c>
      <c r="H925" t="str">
        <f t="shared" si="14"/>
        <v>Get the latest version of the map and host it on this server.</v>
      </c>
    </row>
    <row r="926" spans="1:19" x14ac:dyDescent="0.25">
      <c r="A926" t="s">
        <v>5252</v>
      </c>
      <c r="C926" t="s">
        <v>1495</v>
      </c>
      <c r="D926" t="s">
        <v>25</v>
      </c>
      <c r="E926" t="s">
        <v>1496</v>
      </c>
      <c r="H926" t="str">
        <f t="shared" si="14"/>
        <v>Store current settings to config.cfg (or specified .cfg file).</v>
      </c>
    </row>
    <row r="927" spans="1:19" x14ac:dyDescent="0.25">
      <c r="A927" t="s">
        <v>5252</v>
      </c>
      <c r="C927" t="s">
        <v>1497</v>
      </c>
      <c r="D927" t="s">
        <v>25</v>
      </c>
      <c r="E927" t="s">
        <v>1498</v>
      </c>
      <c r="H927" t="str">
        <f t="shared" si="14"/>
        <v>Store current settings to config.cfg (or specified .cfg file) with first param as splitscreen index.</v>
      </c>
    </row>
    <row r="928" spans="1:19" x14ac:dyDescent="0.25">
      <c r="A928" t="s">
        <v>5251</v>
      </c>
      <c r="C928" t="s">
        <v>1499</v>
      </c>
      <c r="D928">
        <v>0</v>
      </c>
      <c r="E928" t="s">
        <v>1500</v>
      </c>
      <c r="H928" t="str">
        <f t="shared" si="14"/>
        <v>Show hostage AI debug information</v>
      </c>
      <c r="K928" t="s">
        <v>4</v>
      </c>
      <c r="L928" t="s">
        <v>5</v>
      </c>
    </row>
    <row r="929" spans="1:25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tr">
        <f t="shared" si="14"/>
        <v>When set, the hostage won't play any code driven response rules lines</v>
      </c>
      <c r="K929" t="s">
        <v>4</v>
      </c>
      <c r="L929" t="s">
        <v>5</v>
      </c>
    </row>
    <row r="930" spans="1:25" x14ac:dyDescent="0.25">
      <c r="A930" t="s">
        <v>5252</v>
      </c>
      <c r="C930" t="s">
        <v>1503</v>
      </c>
      <c r="D930">
        <v>0</v>
      </c>
      <c r="E930" t="s">
        <v>1504</v>
      </c>
      <c r="H930" t="str">
        <f t="shared" si="14"/>
        <v>The HOST file to load.</v>
      </c>
      <c r="K930" t="s">
        <v>4</v>
      </c>
    </row>
    <row r="931" spans="1:25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  <c r="H931" t="str">
        <f t="shared" si="14"/>
        <v>Host game server ip</v>
      </c>
    </row>
    <row r="932" spans="1:25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  <c r="H932" t="str">
        <f t="shared" si="14"/>
        <v>Hostname for server.</v>
      </c>
    </row>
    <row r="933" spans="1:25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  <c r="H933" t="str">
        <f t="shared" si="14"/>
        <v>Host game server port</v>
      </c>
    </row>
    <row r="934" spans="1:25" x14ac:dyDescent="0.25">
      <c r="A934" t="s">
        <v>5251</v>
      </c>
      <c r="C934" t="s">
        <v>1511</v>
      </c>
      <c r="D934" t="s">
        <v>25</v>
      </c>
      <c r="E934" t="s">
        <v>1512</v>
      </c>
      <c r="H934" t="str">
        <f t="shared" si="14"/>
        <v>Reloads hud layout and animation scripts.</v>
      </c>
    </row>
    <row r="935" spans="1:25" x14ac:dyDescent="0.25">
      <c r="A935" t="s">
        <v>5251</v>
      </c>
      <c r="C935" t="s">
        <v>1513</v>
      </c>
      <c r="D935">
        <v>0</v>
      </c>
      <c r="E935" t="s">
        <v>1514</v>
      </c>
      <c r="H935" t="str">
        <f t="shared" si="14"/>
        <v>Scales hud elements</v>
      </c>
      <c r="I935" t="s">
        <v>2</v>
      </c>
      <c r="X935" t="s">
        <v>17</v>
      </c>
    </row>
    <row r="936" spans="1:25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H936" t="str">
        <f t="shared" si="14"/>
        <v>Enables display of target names</v>
      </c>
      <c r="I936" t="s">
        <v>2</v>
      </c>
      <c r="X936" t="s">
        <v>17</v>
      </c>
      <c r="Y936" t="s">
        <v>18</v>
      </c>
    </row>
    <row r="937" spans="1:25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  <c r="H937" t="str">
        <f t="shared" si="14"/>
        <v>Plays the Subtitles: &lt;filename&gt;</v>
      </c>
    </row>
    <row r="938" spans="1:25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H938" t="str">
        <f t="shared" si="14"/>
        <v>Auto-save a scoreboard screenshot at the end of a map.</v>
      </c>
      <c r="I938" t="s">
        <v>2</v>
      </c>
      <c r="X938" t="s">
        <v>17</v>
      </c>
    </row>
    <row r="939" spans="1:25" x14ac:dyDescent="0.25">
      <c r="A939" t="s">
        <v>5251</v>
      </c>
      <c r="C939" t="s">
        <v>1521</v>
      </c>
      <c r="D939" t="s">
        <v>25</v>
      </c>
      <c r="E939" t="s">
        <v>5199</v>
      </c>
      <c r="H939" t="str">
        <f t="shared" si="14"/>
        <v>Hurts the player. 	Arguments: &lt;health to lose&gt;</v>
      </c>
    </row>
    <row r="940" spans="1:25" x14ac:dyDescent="0.25">
      <c r="A940" t="s">
        <v>5251</v>
      </c>
      <c r="C940" t="s">
        <v>1522</v>
      </c>
      <c r="D940" t="s">
        <v>25</v>
      </c>
      <c r="E940" t="s">
        <v>1523</v>
      </c>
      <c r="H940" t="str">
        <f t="shared" si="14"/>
        <v>Spew IME HKL info.</v>
      </c>
    </row>
    <row r="941" spans="1:25" x14ac:dyDescent="0.25">
      <c r="A941" t="s">
        <v>5251</v>
      </c>
      <c r="C941" t="s">
        <v>1524</v>
      </c>
      <c r="D941" t="s">
        <v>25</v>
      </c>
      <c r="E941" t="s">
        <v>1525</v>
      </c>
      <c r="H941" t="str">
        <f t="shared" si="14"/>
        <v>Spew IME info.</v>
      </c>
    </row>
    <row r="942" spans="1:25" x14ac:dyDescent="0.25">
      <c r="A942" t="s">
        <v>5251</v>
      </c>
      <c r="C942" t="s">
        <v>1526</v>
      </c>
      <c r="D942" t="s">
        <v>25</v>
      </c>
      <c r="E942" t="s">
        <v>1527</v>
      </c>
      <c r="H942" t="str">
        <f t="shared" si="14"/>
        <v>Spew IME Supported info.</v>
      </c>
    </row>
    <row r="943" spans="1:25" x14ac:dyDescent="0.25">
      <c r="A943" t="s">
        <v>5251</v>
      </c>
      <c r="C943" t="s">
        <v>1528</v>
      </c>
      <c r="D943" t="s">
        <v>25</v>
      </c>
      <c r="H943">
        <f t="shared" si="14"/>
        <v>0</v>
      </c>
    </row>
    <row r="944" spans="1:25" x14ac:dyDescent="0.25">
      <c r="A944" t="s">
        <v>5251</v>
      </c>
      <c r="C944" t="s">
        <v>1529</v>
      </c>
      <c r="D944">
        <v>0</v>
      </c>
      <c r="E944" t="s">
        <v>1530</v>
      </c>
      <c r="H944" t="str">
        <f t="shared" si="14"/>
        <v>Force user input to this split screen player.</v>
      </c>
      <c r="L944" t="s">
        <v>5</v>
      </c>
    </row>
    <row r="945" spans="1:24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  <c r="H945" t="str">
        <f t="shared" si="14"/>
        <v>Increment specified convar value.</v>
      </c>
    </row>
    <row r="946" spans="1:24" x14ac:dyDescent="0.25">
      <c r="A946" t="s">
        <v>5251</v>
      </c>
      <c r="C946" t="s">
        <v>1533</v>
      </c>
      <c r="D946">
        <v>0</v>
      </c>
      <c r="E946" t="s">
        <v>1534</v>
      </c>
      <c r="H946" t="str">
        <f t="shared" si="14"/>
        <v>Amount spawn interval increases for each child</v>
      </c>
      <c r="K946" t="s">
        <v>4</v>
      </c>
      <c r="L946" t="s">
        <v>5</v>
      </c>
    </row>
    <row r="947" spans="1:24" x14ac:dyDescent="0.25">
      <c r="A947" t="s">
        <v>5251</v>
      </c>
      <c r="C947" t="s">
        <v>1535</v>
      </c>
      <c r="D947">
        <v>4</v>
      </c>
      <c r="H947">
        <f t="shared" si="14"/>
        <v>0</v>
      </c>
      <c r="K947" t="s">
        <v>4</v>
      </c>
      <c r="S947" t="s">
        <v>12</v>
      </c>
    </row>
    <row r="948" spans="1:24" x14ac:dyDescent="0.25">
      <c r="A948" t="s">
        <v>5251</v>
      </c>
      <c r="C948" t="s">
        <v>1536</v>
      </c>
      <c r="D948">
        <v>40</v>
      </c>
      <c r="E948" t="s">
        <v>1537</v>
      </c>
      <c r="H948" t="str">
        <f t="shared" si="14"/>
        <v>Damage per second</v>
      </c>
      <c r="K948" t="s">
        <v>4</v>
      </c>
      <c r="L948" t="s">
        <v>5</v>
      </c>
    </row>
    <row r="949" spans="1:24" x14ac:dyDescent="0.25">
      <c r="A949" t="s">
        <v>5251</v>
      </c>
      <c r="C949" t="s">
        <v>1538</v>
      </c>
      <c r="D949">
        <v>0</v>
      </c>
      <c r="H949">
        <f t="shared" si="14"/>
        <v>0</v>
      </c>
      <c r="K949" t="s">
        <v>4</v>
      </c>
      <c r="L949" t="s">
        <v>5</v>
      </c>
    </row>
    <row r="950" spans="1:24" x14ac:dyDescent="0.25">
      <c r="A950" t="s">
        <v>5251</v>
      </c>
      <c r="C950" t="s">
        <v>1539</v>
      </c>
      <c r="D950">
        <v>200</v>
      </c>
      <c r="E950" t="s">
        <v>1540</v>
      </c>
      <c r="H950" t="str">
        <f t="shared" si="14"/>
        <v>Inferno dlights are at least this far apart</v>
      </c>
      <c r="L950" t="s">
        <v>5</v>
      </c>
      <c r="X950" t="s">
        <v>17</v>
      </c>
    </row>
    <row r="951" spans="1:24" x14ac:dyDescent="0.25">
      <c r="A951" t="s">
        <v>5251</v>
      </c>
      <c r="C951" t="s">
        <v>1541</v>
      </c>
      <c r="D951">
        <v>7</v>
      </c>
      <c r="E951" t="s">
        <v>1542</v>
      </c>
      <c r="H951" t="str">
        <f t="shared" si="14"/>
        <v>Average lifetime of each flame in seconds</v>
      </c>
      <c r="K951" t="s">
        <v>4</v>
      </c>
      <c r="S951" t="s">
        <v>12</v>
      </c>
    </row>
    <row r="952" spans="1:24" x14ac:dyDescent="0.25">
      <c r="A952" t="s">
        <v>5251</v>
      </c>
      <c r="C952" t="s">
        <v>1543</v>
      </c>
      <c r="D952">
        <v>42</v>
      </c>
      <c r="E952" t="s">
        <v>1544</v>
      </c>
      <c r="H952" t="str">
        <f t="shared" si="14"/>
        <v>Minimum distance between separate flame spawns</v>
      </c>
      <c r="K952" t="s">
        <v>4</v>
      </c>
      <c r="L952" t="s">
        <v>5</v>
      </c>
    </row>
    <row r="953" spans="1:24" x14ac:dyDescent="0.25">
      <c r="A953" t="s">
        <v>5251</v>
      </c>
      <c r="C953" t="s">
        <v>1545</v>
      </c>
      <c r="D953">
        <v>0</v>
      </c>
      <c r="H953">
        <f t="shared" si="14"/>
        <v>0</v>
      </c>
      <c r="K953" t="s">
        <v>4</v>
      </c>
      <c r="L953" t="s">
        <v>5</v>
      </c>
    </row>
    <row r="954" spans="1:24" x14ac:dyDescent="0.25">
      <c r="A954" t="s">
        <v>5251</v>
      </c>
      <c r="C954" t="s">
        <v>1546</v>
      </c>
      <c r="D954">
        <v>6</v>
      </c>
      <c r="E954" t="s">
        <v>1547</v>
      </c>
      <c r="H954" t="str">
        <f t="shared" si="14"/>
        <v>For this long, FF is credited back to the thrower.</v>
      </c>
      <c r="K954" t="s">
        <v>4</v>
      </c>
      <c r="L954" t="s">
        <v>5</v>
      </c>
    </row>
    <row r="955" spans="1:24" x14ac:dyDescent="0.25">
      <c r="A955" t="s">
        <v>5251</v>
      </c>
      <c r="C955" t="s">
        <v>1548</v>
      </c>
      <c r="D955">
        <v>0</v>
      </c>
      <c r="E955" t="s">
        <v>1549</v>
      </c>
      <c r="H955" t="str">
        <f t="shared" si="14"/>
        <v>Time between spawning flames for first fire</v>
      </c>
      <c r="K955" t="s">
        <v>4</v>
      </c>
      <c r="L955" t="s">
        <v>5</v>
      </c>
    </row>
    <row r="956" spans="1:24" x14ac:dyDescent="0.25">
      <c r="A956" t="s">
        <v>5251</v>
      </c>
      <c r="C956" t="s">
        <v>1550</v>
      </c>
      <c r="D956">
        <v>0</v>
      </c>
      <c r="E956" t="s">
        <v>1551</v>
      </c>
      <c r="H956" t="str">
        <f t="shared" si="14"/>
        <v>Largest time interval for child flame spawning</v>
      </c>
      <c r="K956" t="s">
        <v>4</v>
      </c>
      <c r="L956" t="s">
        <v>5</v>
      </c>
    </row>
    <row r="957" spans="1:24" x14ac:dyDescent="0.25">
      <c r="A957" t="s">
        <v>5251</v>
      </c>
      <c r="C957" t="s">
        <v>1552</v>
      </c>
      <c r="D957">
        <v>16</v>
      </c>
      <c r="E957" t="s">
        <v>1553</v>
      </c>
      <c r="H957" t="str">
        <f t="shared" si="14"/>
        <v>Maximum number of flames that can be created</v>
      </c>
      <c r="K957" t="s">
        <v>4</v>
      </c>
      <c r="S957" t="s">
        <v>12</v>
      </c>
    </row>
    <row r="958" spans="1:24" x14ac:dyDescent="0.25">
      <c r="A958" t="s">
        <v>5251</v>
      </c>
      <c r="C958" t="s">
        <v>1554</v>
      </c>
      <c r="D958">
        <v>150</v>
      </c>
      <c r="E958" t="s">
        <v>1555</v>
      </c>
      <c r="H958" t="str">
        <f t="shared" si="14"/>
        <v>Maximum distance flames can spread from their initial ignition point</v>
      </c>
      <c r="K958" t="s">
        <v>4</v>
      </c>
      <c r="S958" t="s">
        <v>12</v>
      </c>
    </row>
    <row r="959" spans="1:24" x14ac:dyDescent="0.25">
      <c r="A959" t="s">
        <v>5251</v>
      </c>
      <c r="C959" t="s">
        <v>1556</v>
      </c>
      <c r="D959">
        <v>3</v>
      </c>
      <c r="E959" t="s">
        <v>1557</v>
      </c>
      <c r="H959" t="str">
        <f t="shared" si="14"/>
        <v>Duration each new flame will attempt to spawn new flames</v>
      </c>
      <c r="K959" t="s">
        <v>4</v>
      </c>
      <c r="L959" t="s">
        <v>5</v>
      </c>
    </row>
    <row r="960" spans="1:24" x14ac:dyDescent="0.25">
      <c r="A960" t="s">
        <v>5251</v>
      </c>
      <c r="C960" t="s">
        <v>1558</v>
      </c>
      <c r="D960">
        <v>1</v>
      </c>
      <c r="H960">
        <f t="shared" si="14"/>
        <v>0</v>
      </c>
      <c r="K960" t="s">
        <v>4</v>
      </c>
      <c r="L960" t="s">
        <v>5</v>
      </c>
    </row>
    <row r="961" spans="1:12" x14ac:dyDescent="0.25">
      <c r="A961" t="s">
        <v>5251</v>
      </c>
      <c r="C961" t="s">
        <v>1559</v>
      </c>
      <c r="D961">
        <v>45</v>
      </c>
      <c r="E961" t="s">
        <v>1560</v>
      </c>
      <c r="H961" t="str">
        <f t="shared" si="14"/>
        <v>Angular change from parent</v>
      </c>
      <c r="K961" t="s">
        <v>4</v>
      </c>
      <c r="L961" t="s">
        <v>5</v>
      </c>
    </row>
    <row r="962" spans="1:12" x14ac:dyDescent="0.25">
      <c r="A962" t="s">
        <v>5251</v>
      </c>
      <c r="C962" t="s">
        <v>1561</v>
      </c>
      <c r="D962">
        <v>20</v>
      </c>
      <c r="H962">
        <f t="shared" si="14"/>
        <v>0</v>
      </c>
      <c r="K962" t="s">
        <v>4</v>
      </c>
      <c r="L962" t="s">
        <v>5</v>
      </c>
    </row>
    <row r="963" spans="1:12" x14ac:dyDescent="0.25">
      <c r="A963" t="s">
        <v>5251</v>
      </c>
      <c r="C963" t="s">
        <v>1562</v>
      </c>
      <c r="D963">
        <v>0</v>
      </c>
      <c r="H963">
        <f t="shared" ref="H963:H1026" si="15">IF(F963="",E963, F963 &amp; " - Original Helptext: " &amp;E963)</f>
        <v>0</v>
      </c>
      <c r="K963" t="s">
        <v>4</v>
      </c>
      <c r="L963" t="s">
        <v>5</v>
      </c>
    </row>
    <row r="964" spans="1:12" x14ac:dyDescent="0.25">
      <c r="A964" t="s">
        <v>5251</v>
      </c>
      <c r="C964" t="s">
        <v>1563</v>
      </c>
      <c r="D964">
        <v>0</v>
      </c>
      <c r="H964">
        <f t="shared" si="15"/>
        <v>0</v>
      </c>
      <c r="K964" t="s">
        <v>4</v>
      </c>
      <c r="L964" t="s">
        <v>5</v>
      </c>
    </row>
    <row r="965" spans="1:12" x14ac:dyDescent="0.25">
      <c r="A965" t="s">
        <v>5251</v>
      </c>
      <c r="C965" t="s">
        <v>1564</v>
      </c>
      <c r="D965">
        <v>0</v>
      </c>
      <c r="H965">
        <f t="shared" si="15"/>
        <v>0</v>
      </c>
      <c r="K965" t="s">
        <v>4</v>
      </c>
      <c r="L965" t="s">
        <v>5</v>
      </c>
    </row>
    <row r="966" spans="1:12" x14ac:dyDescent="0.25">
      <c r="A966" t="s">
        <v>5253</v>
      </c>
      <c r="B966" t="s">
        <v>5258</v>
      </c>
      <c r="C966" t="s">
        <v>1565</v>
      </c>
      <c r="D966" t="s">
        <v>25</v>
      </c>
      <c r="H966">
        <f t="shared" si="15"/>
        <v>0</v>
      </c>
    </row>
    <row r="967" spans="1:12" x14ac:dyDescent="0.25">
      <c r="A967" t="s">
        <v>5253</v>
      </c>
      <c r="B967" t="s">
        <v>5258</v>
      </c>
      <c r="C967" t="s">
        <v>1566</v>
      </c>
      <c r="D967" t="s">
        <v>25</v>
      </c>
      <c r="H967">
        <f t="shared" si="15"/>
        <v>0</v>
      </c>
    </row>
    <row r="968" spans="1:12" x14ac:dyDescent="0.25">
      <c r="A968" t="s">
        <v>5253</v>
      </c>
      <c r="B968" t="s">
        <v>5258</v>
      </c>
      <c r="C968" t="s">
        <v>1567</v>
      </c>
      <c r="D968" t="s">
        <v>25</v>
      </c>
      <c r="H968">
        <f t="shared" si="15"/>
        <v>0</v>
      </c>
    </row>
    <row r="969" spans="1:12" x14ac:dyDescent="0.25">
      <c r="A969" t="s">
        <v>5253</v>
      </c>
      <c r="B969" t="s">
        <v>5258</v>
      </c>
      <c r="C969" t="s">
        <v>1568</v>
      </c>
      <c r="D969" t="s">
        <v>25</v>
      </c>
      <c r="H969">
        <f t="shared" si="15"/>
        <v>0</v>
      </c>
    </row>
    <row r="970" spans="1:12" x14ac:dyDescent="0.25">
      <c r="A970" t="s">
        <v>5253</v>
      </c>
      <c r="B970" t="s">
        <v>5258</v>
      </c>
      <c r="C970" t="s">
        <v>1569</v>
      </c>
      <c r="D970" t="s">
        <v>25</v>
      </c>
      <c r="H970">
        <f t="shared" si="15"/>
        <v>0</v>
      </c>
    </row>
    <row r="971" spans="1:12" x14ac:dyDescent="0.25">
      <c r="A971" t="s">
        <v>5251</v>
      </c>
      <c r="C971" t="s">
        <v>1570</v>
      </c>
      <c r="D971">
        <v>0</v>
      </c>
      <c r="E971" t="s">
        <v>1571</v>
      </c>
      <c r="H971" t="str">
        <f t="shared" si="15"/>
        <v>Overrides IP for multihomed hosts</v>
      </c>
    </row>
    <row r="972" spans="1:12" x14ac:dyDescent="0.25">
      <c r="A972" t="s">
        <v>5251</v>
      </c>
      <c r="C972" t="s">
        <v>1572</v>
      </c>
      <c r="D972">
        <v>0</v>
      </c>
      <c r="E972" t="s">
        <v>1573</v>
      </c>
      <c r="H972" t="str">
        <f t="shared" si="15"/>
        <v>Overrides IP used to redirect TV relay connections for NAT hosts</v>
      </c>
    </row>
    <row r="973" spans="1:12" x14ac:dyDescent="0.25">
      <c r="A973" t="s">
        <v>5251</v>
      </c>
      <c r="C973" t="s">
        <v>1574</v>
      </c>
      <c r="D973">
        <v>0</v>
      </c>
      <c r="E973" t="s">
        <v>1575</v>
      </c>
      <c r="H973" t="str">
        <f t="shared" si="15"/>
        <v>Overrides IP used to bind Steam port for multihomed hosts</v>
      </c>
    </row>
    <row r="974" spans="1:12" x14ac:dyDescent="0.25">
      <c r="A974" t="s">
        <v>5251</v>
      </c>
      <c r="C974" t="s">
        <v>1576</v>
      </c>
      <c r="D974">
        <v>0</v>
      </c>
      <c r="E974" t="s">
        <v>1577</v>
      </c>
      <c r="H974" t="str">
        <f t="shared" si="15"/>
        <v>Overrides IP used to bind TV port for multihomed hosts</v>
      </c>
    </row>
    <row r="975" spans="1:12" x14ac:dyDescent="0.25">
      <c r="A975" t="s">
        <v>5251</v>
      </c>
      <c r="C975" t="s">
        <v>1578</v>
      </c>
      <c r="D975">
        <v>0</v>
      </c>
      <c r="E975" t="s">
        <v>1579</v>
      </c>
      <c r="H975" t="str">
        <f t="shared" si="15"/>
        <v>Overrides IP used to bind TV1 port for multihomed hosts</v>
      </c>
    </row>
    <row r="976" spans="1:12" x14ac:dyDescent="0.25">
      <c r="A976" t="s">
        <v>5251</v>
      </c>
      <c r="C976" t="s">
        <v>1580</v>
      </c>
      <c r="D976" t="s">
        <v>25</v>
      </c>
      <c r="E976" t="s">
        <v>1581</v>
      </c>
      <c r="H976" t="str">
        <f t="shared" si="15"/>
        <v>Disable IPC console(s)</v>
      </c>
    </row>
    <row r="977" spans="1:24" x14ac:dyDescent="0.25">
      <c r="A977" t="s">
        <v>5251</v>
      </c>
      <c r="C977" t="s">
        <v>1582</v>
      </c>
      <c r="D977" t="s">
        <v>25</v>
      </c>
      <c r="E977" t="s">
        <v>1583</v>
      </c>
      <c r="H977" t="str">
        <f t="shared" si="15"/>
        <v>Disable all IPC consoles</v>
      </c>
    </row>
    <row r="978" spans="1:24" x14ac:dyDescent="0.25">
      <c r="A978" t="s">
        <v>5251</v>
      </c>
      <c r="C978" t="s">
        <v>1584</v>
      </c>
      <c r="D978" t="s">
        <v>25</v>
      </c>
      <c r="E978" t="s">
        <v>1585</v>
      </c>
      <c r="H978" t="str">
        <f t="shared" si="15"/>
        <v>Enable IPC console</v>
      </c>
    </row>
    <row r="979" spans="1:24" x14ac:dyDescent="0.25">
      <c r="A979" t="s">
        <v>5251</v>
      </c>
      <c r="C979" t="s">
        <v>1586</v>
      </c>
      <c r="D979" t="s">
        <v>25</v>
      </c>
      <c r="E979" t="s">
        <v>1587</v>
      </c>
      <c r="H979" t="str">
        <f t="shared" si="15"/>
        <v>Show status of IPC consoles</v>
      </c>
    </row>
    <row r="980" spans="1:24" x14ac:dyDescent="0.25">
      <c r="A980" t="s">
        <v>5251</v>
      </c>
      <c r="C980" t="s">
        <v>1588</v>
      </c>
      <c r="D980" t="s">
        <v>25</v>
      </c>
      <c r="H980">
        <f t="shared" si="15"/>
        <v>0</v>
      </c>
    </row>
    <row r="981" spans="1:24" x14ac:dyDescent="0.25">
      <c r="A981" t="s">
        <v>5251</v>
      </c>
      <c r="C981" t="s">
        <v>1589</v>
      </c>
      <c r="D981" t="s">
        <v>25</v>
      </c>
      <c r="H981">
        <f t="shared" si="15"/>
        <v>0</v>
      </c>
    </row>
    <row r="982" spans="1:24" x14ac:dyDescent="0.25">
      <c r="A982" t="s">
        <v>5251</v>
      </c>
      <c r="C982" t="s">
        <v>1590</v>
      </c>
      <c r="D982" t="s">
        <v>25</v>
      </c>
      <c r="E982" t="s">
        <v>1591</v>
      </c>
      <c r="H982" t="str">
        <f t="shared" si="15"/>
        <v>Outputs item time data to server log and clears data.</v>
      </c>
    </row>
    <row r="983" spans="1:24" x14ac:dyDescent="0.25">
      <c r="A983" t="s">
        <v>5251</v>
      </c>
      <c r="B983" t="s">
        <v>25</v>
      </c>
      <c r="C983" t="s">
        <v>1592</v>
      </c>
      <c r="D983" t="s">
        <v>25</v>
      </c>
      <c r="H983">
        <f t="shared" si="15"/>
        <v>0</v>
      </c>
    </row>
    <row r="984" spans="1:24" x14ac:dyDescent="0.25">
      <c r="A984" t="s">
        <v>5251</v>
      </c>
      <c r="B984" t="s">
        <v>25</v>
      </c>
      <c r="C984" t="s">
        <v>1593</v>
      </c>
      <c r="D984" t="s">
        <v>25</v>
      </c>
      <c r="H984">
        <f t="shared" si="15"/>
        <v>0</v>
      </c>
    </row>
    <row r="985" spans="1:24" x14ac:dyDescent="0.25">
      <c r="A985" t="s">
        <v>5251</v>
      </c>
      <c r="C985" t="s">
        <v>1594</v>
      </c>
      <c r="D985">
        <v>1</v>
      </c>
      <c r="H985">
        <f t="shared" si="15"/>
        <v>0</v>
      </c>
      <c r="I985" t="s">
        <v>2</v>
      </c>
      <c r="X985" t="s">
        <v>17</v>
      </c>
    </row>
    <row r="986" spans="1:24" x14ac:dyDescent="0.25">
      <c r="A986" t="s">
        <v>5251</v>
      </c>
      <c r="C986" t="s">
        <v>1595</v>
      </c>
      <c r="D986">
        <v>3</v>
      </c>
      <c r="H986">
        <f t="shared" si="15"/>
        <v>0</v>
      </c>
      <c r="I986" t="s">
        <v>2</v>
      </c>
      <c r="X986" t="s">
        <v>17</v>
      </c>
    </row>
    <row r="987" spans="1:24" x14ac:dyDescent="0.25">
      <c r="A987" t="s">
        <v>5251</v>
      </c>
      <c r="C987" t="s">
        <v>1596</v>
      </c>
      <c r="D987">
        <v>0</v>
      </c>
      <c r="H987">
        <f t="shared" si="15"/>
        <v>0</v>
      </c>
      <c r="I987" t="s">
        <v>2</v>
      </c>
      <c r="X987" t="s">
        <v>17</v>
      </c>
    </row>
    <row r="988" spans="1:24" x14ac:dyDescent="0.25">
      <c r="A988" t="s">
        <v>5251</v>
      </c>
      <c r="C988" t="s">
        <v>1597</v>
      </c>
      <c r="D988">
        <v>0</v>
      </c>
      <c r="H988">
        <f t="shared" si="15"/>
        <v>0</v>
      </c>
      <c r="I988" t="s">
        <v>2</v>
      </c>
      <c r="X988" t="s">
        <v>17</v>
      </c>
    </row>
    <row r="989" spans="1:24" x14ac:dyDescent="0.25">
      <c r="A989" t="s">
        <v>5251</v>
      </c>
      <c r="C989" t="s">
        <v>1598</v>
      </c>
      <c r="D989">
        <v>0</v>
      </c>
      <c r="H989">
        <f t="shared" si="15"/>
        <v>0</v>
      </c>
      <c r="I989" t="s">
        <v>2</v>
      </c>
      <c r="X989" t="s">
        <v>17</v>
      </c>
    </row>
    <row r="990" spans="1:24" x14ac:dyDescent="0.25">
      <c r="A990" t="s">
        <v>5251</v>
      </c>
      <c r="C990" t="s">
        <v>1599</v>
      </c>
      <c r="D990">
        <v>0</v>
      </c>
      <c r="H990">
        <f t="shared" si="15"/>
        <v>0</v>
      </c>
      <c r="I990" t="s">
        <v>2</v>
      </c>
      <c r="X990" t="s">
        <v>17</v>
      </c>
    </row>
    <row r="991" spans="1:24" x14ac:dyDescent="0.25">
      <c r="A991" t="s">
        <v>5251</v>
      </c>
      <c r="C991" t="s">
        <v>1600</v>
      </c>
      <c r="D991">
        <v>0</v>
      </c>
      <c r="H991">
        <f t="shared" si="15"/>
        <v>0</v>
      </c>
      <c r="I991" t="s">
        <v>2</v>
      </c>
      <c r="X991" t="s">
        <v>17</v>
      </c>
    </row>
    <row r="992" spans="1:24" x14ac:dyDescent="0.25">
      <c r="A992" t="s">
        <v>5251</v>
      </c>
      <c r="C992" t="s">
        <v>1601</v>
      </c>
      <c r="D992">
        <v>0</v>
      </c>
      <c r="H992">
        <f t="shared" si="15"/>
        <v>0</v>
      </c>
      <c r="I992" t="s">
        <v>2</v>
      </c>
      <c r="X992" t="s">
        <v>17</v>
      </c>
    </row>
    <row r="993" spans="1:25" x14ac:dyDescent="0.25">
      <c r="A993" t="s">
        <v>5251</v>
      </c>
      <c r="C993" t="s">
        <v>1602</v>
      </c>
      <c r="D993">
        <v>0</v>
      </c>
      <c r="H993">
        <f t="shared" si="15"/>
        <v>0</v>
      </c>
      <c r="I993" t="s">
        <v>2</v>
      </c>
      <c r="X993" t="s">
        <v>17</v>
      </c>
    </row>
    <row r="994" spans="1:25" x14ac:dyDescent="0.25">
      <c r="A994" t="s">
        <v>5251</v>
      </c>
      <c r="C994" t="s">
        <v>1603</v>
      </c>
      <c r="D994">
        <v>0</v>
      </c>
      <c r="H994">
        <f t="shared" si="15"/>
        <v>0</v>
      </c>
      <c r="I994" t="s">
        <v>2</v>
      </c>
      <c r="X994" t="s">
        <v>17</v>
      </c>
    </row>
    <row r="995" spans="1:25" x14ac:dyDescent="0.25">
      <c r="A995" t="s">
        <v>5251</v>
      </c>
      <c r="C995" t="s">
        <v>1604</v>
      </c>
      <c r="D995">
        <v>0</v>
      </c>
      <c r="E995" t="s">
        <v>1605</v>
      </c>
      <c r="H995" t="str">
        <f t="shared" si="15"/>
        <v>How much to scale user stick input when the gun is pointing at a valid target.</v>
      </c>
      <c r="I995" t="s">
        <v>2</v>
      </c>
      <c r="X995" t="s">
        <v>17</v>
      </c>
    </row>
    <row r="996" spans="1:25" x14ac:dyDescent="0.25">
      <c r="A996" t="s">
        <v>5251</v>
      </c>
      <c r="C996" t="s">
        <v>1606</v>
      </c>
      <c r="D996">
        <v>0</v>
      </c>
      <c r="H996">
        <f t="shared" si="15"/>
        <v>0</v>
      </c>
      <c r="I996" t="s">
        <v>2</v>
      </c>
      <c r="X996" t="s">
        <v>17</v>
      </c>
    </row>
    <row r="997" spans="1:25" x14ac:dyDescent="0.25">
      <c r="A997" t="s">
        <v>5251</v>
      </c>
      <c r="C997" t="s">
        <v>1607</v>
      </c>
      <c r="D997">
        <v>0</v>
      </c>
      <c r="E997" t="s">
        <v>1608</v>
      </c>
      <c r="H997" t="str">
        <f t="shared" si="15"/>
        <v>The stick range where autoaim dampening is applied. 0 = off</v>
      </c>
      <c r="I997" t="s">
        <v>2</v>
      </c>
      <c r="X997" t="s">
        <v>17</v>
      </c>
    </row>
    <row r="998" spans="1:25" x14ac:dyDescent="0.25">
      <c r="A998" t="s">
        <v>5251</v>
      </c>
      <c r="C998" t="s">
        <v>1609</v>
      </c>
      <c r="D998">
        <v>0</v>
      </c>
      <c r="E998" t="s">
        <v>1610</v>
      </c>
      <c r="H998" t="str">
        <f t="shared" si="15"/>
        <v>Analog axis range before a button press is registered.</v>
      </c>
      <c r="I998" t="s">
        <v>2</v>
      </c>
    </row>
    <row r="999" spans="1:25" x14ac:dyDescent="0.25">
      <c r="A999" t="s">
        <v>5251</v>
      </c>
      <c r="C999" t="s">
        <v>1611</v>
      </c>
      <c r="D999">
        <v>1</v>
      </c>
      <c r="H999">
        <f t="shared" si="15"/>
        <v>0</v>
      </c>
      <c r="I999" t="s">
        <v>2</v>
      </c>
      <c r="X999" t="s">
        <v>17</v>
      </c>
      <c r="Y999" t="s">
        <v>18</v>
      </c>
    </row>
    <row r="1000" spans="1:25" x14ac:dyDescent="0.25">
      <c r="A1000" t="s">
        <v>5251</v>
      </c>
      <c r="C1000" t="s">
        <v>1612</v>
      </c>
      <c r="D1000">
        <v>1</v>
      </c>
      <c r="H1000">
        <f t="shared" si="15"/>
        <v>0</v>
      </c>
      <c r="I1000" t="s">
        <v>2</v>
      </c>
      <c r="X1000" t="s">
        <v>17</v>
      </c>
    </row>
    <row r="1001" spans="1:25" x14ac:dyDescent="0.25">
      <c r="A1001" t="s">
        <v>5251</v>
      </c>
      <c r="C1001" t="s">
        <v>1613</v>
      </c>
      <c r="D1001">
        <v>0</v>
      </c>
      <c r="H1001">
        <f t="shared" si="15"/>
        <v>0</v>
      </c>
      <c r="I1001" t="s">
        <v>2</v>
      </c>
      <c r="X1001" t="s">
        <v>17</v>
      </c>
    </row>
    <row r="1002" spans="1:25" x14ac:dyDescent="0.25">
      <c r="A1002" t="s">
        <v>5251</v>
      </c>
      <c r="C1002" t="s">
        <v>1614</v>
      </c>
      <c r="D1002">
        <v>0</v>
      </c>
      <c r="H1002">
        <f t="shared" si="15"/>
        <v>0</v>
      </c>
      <c r="I1002" t="s">
        <v>2</v>
      </c>
      <c r="X1002" t="s">
        <v>17</v>
      </c>
    </row>
    <row r="1003" spans="1:25" x14ac:dyDescent="0.25">
      <c r="A1003" t="s">
        <v>5251</v>
      </c>
      <c r="C1003" t="s">
        <v>1615</v>
      </c>
      <c r="D1003">
        <v>0</v>
      </c>
      <c r="H1003">
        <f t="shared" si="15"/>
        <v>0</v>
      </c>
      <c r="I1003" t="s">
        <v>2</v>
      </c>
      <c r="X1003" t="s">
        <v>17</v>
      </c>
    </row>
    <row r="1004" spans="1:25" x14ac:dyDescent="0.25">
      <c r="A1004" t="s">
        <v>5251</v>
      </c>
      <c r="C1004" t="s">
        <v>1616</v>
      </c>
      <c r="D1004">
        <v>1</v>
      </c>
      <c r="H1004">
        <f t="shared" si="15"/>
        <v>0</v>
      </c>
      <c r="I1004" t="s">
        <v>2</v>
      </c>
      <c r="X1004" t="s">
        <v>17</v>
      </c>
    </row>
    <row r="1005" spans="1:25" x14ac:dyDescent="0.25">
      <c r="A1005" t="s">
        <v>5251</v>
      </c>
      <c r="C1005" t="s">
        <v>1617</v>
      </c>
      <c r="D1005">
        <v>2</v>
      </c>
      <c r="H1005">
        <f t="shared" si="15"/>
        <v>0</v>
      </c>
      <c r="I1005" t="s">
        <v>2</v>
      </c>
      <c r="X1005" t="s">
        <v>17</v>
      </c>
    </row>
    <row r="1006" spans="1:25" x14ac:dyDescent="0.25">
      <c r="A1006" t="s">
        <v>5251</v>
      </c>
      <c r="C1006" t="s">
        <v>1618</v>
      </c>
      <c r="D1006">
        <v>0</v>
      </c>
      <c r="E1006" t="s">
        <v>1619</v>
      </c>
      <c r="H1006" t="str">
        <f t="shared" si="15"/>
        <v>POV manipulator operates on diagonal axes, too.</v>
      </c>
      <c r="I1006" t="s">
        <v>2</v>
      </c>
      <c r="X1006" t="s">
        <v>17</v>
      </c>
    </row>
    <row r="1007" spans="1:25" x14ac:dyDescent="0.25">
      <c r="A1007" t="s">
        <v>5251</v>
      </c>
      <c r="C1007" t="s">
        <v>1620</v>
      </c>
      <c r="D1007">
        <v>0</v>
      </c>
      <c r="H1007">
        <f t="shared" si="15"/>
        <v>0</v>
      </c>
      <c r="I1007" t="s">
        <v>2</v>
      </c>
      <c r="X1007" t="s">
        <v>17</v>
      </c>
    </row>
    <row r="1008" spans="1:25" x14ac:dyDescent="0.25">
      <c r="A1008" t="s">
        <v>5251</v>
      </c>
      <c r="C1008" t="s">
        <v>1621</v>
      </c>
      <c r="D1008">
        <v>-1</v>
      </c>
      <c r="H1008">
        <f t="shared" si="15"/>
        <v>0</v>
      </c>
      <c r="I1008" t="s">
        <v>2</v>
      </c>
      <c r="X1008" t="s">
        <v>17</v>
      </c>
    </row>
    <row r="1009" spans="1:25" x14ac:dyDescent="0.25">
      <c r="A1009" t="s">
        <v>5251</v>
      </c>
      <c r="C1009" t="s">
        <v>1622</v>
      </c>
      <c r="D1009">
        <v>0</v>
      </c>
      <c r="H1009">
        <f t="shared" si="15"/>
        <v>0</v>
      </c>
      <c r="I1009" t="s">
        <v>2</v>
      </c>
      <c r="X1009" t="s">
        <v>17</v>
      </c>
    </row>
    <row r="1010" spans="1:25" x14ac:dyDescent="0.25">
      <c r="A1010" t="s">
        <v>5251</v>
      </c>
      <c r="C1010" t="s">
        <v>1623</v>
      </c>
      <c r="D1010">
        <v>0</v>
      </c>
      <c r="H1010">
        <f t="shared" si="15"/>
        <v>0</v>
      </c>
      <c r="I1010" t="s">
        <v>2</v>
      </c>
      <c r="X1010" t="s">
        <v>17</v>
      </c>
    </row>
    <row r="1011" spans="1:25" x14ac:dyDescent="0.25">
      <c r="A1011" t="s">
        <v>5251</v>
      </c>
      <c r="C1011" t="s">
        <v>1624</v>
      </c>
      <c r="D1011">
        <v>0</v>
      </c>
      <c r="E1011" t="s">
        <v>1625</v>
      </c>
      <c r="H1011" t="str">
        <f t="shared" si="15"/>
        <v>Whether to invert the Y axis of the joystick for looking.</v>
      </c>
      <c r="I1011" t="s">
        <v>2</v>
      </c>
      <c r="X1011" t="s">
        <v>17</v>
      </c>
      <c r="Y1011" t="s">
        <v>18</v>
      </c>
    </row>
    <row r="1012" spans="1:25" x14ac:dyDescent="0.25">
      <c r="A1012" t="s">
        <v>5251</v>
      </c>
      <c r="C1012" t="s">
        <v>1626</v>
      </c>
      <c r="D1012">
        <v>1</v>
      </c>
      <c r="H1012">
        <f t="shared" si="15"/>
        <v>0</v>
      </c>
      <c r="I1012" t="s">
        <v>2</v>
      </c>
      <c r="X1012" t="s">
        <v>17</v>
      </c>
    </row>
    <row r="1013" spans="1:25" x14ac:dyDescent="0.25">
      <c r="A1013" t="s">
        <v>5251</v>
      </c>
      <c r="C1013" t="s">
        <v>1627</v>
      </c>
      <c r="D1013">
        <v>0</v>
      </c>
      <c r="H1013">
        <f t="shared" si="15"/>
        <v>0</v>
      </c>
      <c r="I1013" t="s">
        <v>2</v>
      </c>
      <c r="X1013" t="s">
        <v>17</v>
      </c>
    </row>
    <row r="1014" spans="1:25" x14ac:dyDescent="0.25">
      <c r="A1014" t="s">
        <v>5251</v>
      </c>
      <c r="C1014" t="s">
        <v>1628</v>
      </c>
      <c r="D1014">
        <v>1</v>
      </c>
      <c r="H1014">
        <f t="shared" si="15"/>
        <v>0</v>
      </c>
      <c r="I1014" t="s">
        <v>2</v>
      </c>
      <c r="X1014" t="s">
        <v>17</v>
      </c>
    </row>
    <row r="1015" spans="1:25" x14ac:dyDescent="0.25">
      <c r="A1015" t="s">
        <v>5251</v>
      </c>
      <c r="C1015" t="s">
        <v>1629</v>
      </c>
      <c r="D1015">
        <v>0</v>
      </c>
      <c r="E1015" t="s">
        <v>1630</v>
      </c>
      <c r="H1015" t="str">
        <f t="shared" si="15"/>
        <v>Which stick controls movement : 0 = left stick, 1 = right stick, 2 = legacy controls</v>
      </c>
      <c r="I1015" t="s">
        <v>2</v>
      </c>
      <c r="X1015" t="s">
        <v>17</v>
      </c>
      <c r="Y1015" t="s">
        <v>18</v>
      </c>
    </row>
    <row r="1016" spans="1:25" x14ac:dyDescent="0.25">
      <c r="A1016" t="s">
        <v>5251</v>
      </c>
      <c r="C1016" t="s">
        <v>1631</v>
      </c>
      <c r="D1016">
        <v>0</v>
      </c>
      <c r="H1016">
        <f t="shared" si="15"/>
        <v>0</v>
      </c>
      <c r="I1016" t="s">
        <v>2</v>
      </c>
      <c r="X1016" t="s">
        <v>17</v>
      </c>
    </row>
    <row r="1017" spans="1:25" x14ac:dyDescent="0.25">
      <c r="A1017" t="s">
        <v>5251</v>
      </c>
      <c r="C1017" t="s">
        <v>1632</v>
      </c>
      <c r="D1017">
        <v>0</v>
      </c>
      <c r="H1017">
        <f t="shared" si="15"/>
        <v>0</v>
      </c>
      <c r="I1017" t="s">
        <v>2</v>
      </c>
      <c r="X1017" t="s">
        <v>17</v>
      </c>
    </row>
    <row r="1018" spans="1:25" x14ac:dyDescent="0.25">
      <c r="A1018" t="s">
        <v>5251</v>
      </c>
      <c r="C1018" t="s">
        <v>1633</v>
      </c>
      <c r="D1018">
        <v>-1</v>
      </c>
      <c r="E1018" t="s">
        <v>1634</v>
      </c>
      <c r="H1018" t="str">
        <f t="shared" si="15"/>
        <v>joystick pitch sensitivity</v>
      </c>
      <c r="I1018" t="s">
        <v>2</v>
      </c>
      <c r="X1018" t="s">
        <v>17</v>
      </c>
      <c r="Y1018" t="s">
        <v>18</v>
      </c>
    </row>
    <row r="1019" spans="1:25" x14ac:dyDescent="0.25">
      <c r="A1019" t="s">
        <v>5251</v>
      </c>
      <c r="C1019" t="s">
        <v>1635</v>
      </c>
      <c r="D1019">
        <v>0</v>
      </c>
      <c r="H1019">
        <f t="shared" si="15"/>
        <v>0</v>
      </c>
      <c r="I1019" t="s">
        <v>2</v>
      </c>
      <c r="X1019" t="s">
        <v>17</v>
      </c>
    </row>
    <row r="1020" spans="1:25" x14ac:dyDescent="0.25">
      <c r="A1020" t="s">
        <v>5251</v>
      </c>
      <c r="C1020" t="s">
        <v>1636</v>
      </c>
      <c r="D1020">
        <v>0</v>
      </c>
      <c r="E1020" t="s">
        <v>1637</v>
      </c>
      <c r="H1020" t="str">
        <f t="shared" si="15"/>
        <v>'Look' stick response mode: 0=Default, 1=Acceleration Promotion</v>
      </c>
      <c r="I1020" t="s">
        <v>2</v>
      </c>
      <c r="X1020" t="s">
        <v>17</v>
      </c>
    </row>
    <row r="1021" spans="1:25" x14ac:dyDescent="0.25">
      <c r="A1021" t="s">
        <v>5251</v>
      </c>
      <c r="C1021" t="s">
        <v>1638</v>
      </c>
      <c r="D1021">
        <v>1</v>
      </c>
      <c r="E1021" t="s">
        <v>1639</v>
      </c>
      <c r="H1021" t="str">
        <f t="shared" si="15"/>
        <v>'Look' stick response mode for pitch: 0=Default, 1=Acceleration Promotion</v>
      </c>
      <c r="I1021" t="s">
        <v>2</v>
      </c>
      <c r="X1021" t="s">
        <v>17</v>
      </c>
    </row>
    <row r="1022" spans="1:25" x14ac:dyDescent="0.25">
      <c r="A1022" t="s">
        <v>5251</v>
      </c>
      <c r="C1022" t="s">
        <v>1640</v>
      </c>
      <c r="D1022">
        <v>1</v>
      </c>
      <c r="E1022" t="s">
        <v>1641</v>
      </c>
      <c r="H1022" t="str">
        <f t="shared" si="15"/>
        <v>'Movement' stick response mode: 0=Linear, 1=quadratic, 2=cubic, 3=quadratic extreme, 4=power function(i.e., pow(x,1/sensitivity</v>
      </c>
      <c r="I1022" t="s">
        <v>2</v>
      </c>
      <c r="X1022" t="s">
        <v>17</v>
      </c>
    </row>
    <row r="1023" spans="1:25" x14ac:dyDescent="0.25">
      <c r="A1023" t="s">
        <v>5251</v>
      </c>
      <c r="C1023" t="s">
        <v>1642</v>
      </c>
      <c r="D1023">
        <v>0</v>
      </c>
      <c r="H1023">
        <f t="shared" si="15"/>
        <v>0</v>
      </c>
      <c r="I1023" t="s">
        <v>2</v>
      </c>
      <c r="X1023" t="s">
        <v>17</v>
      </c>
    </row>
    <row r="1024" spans="1:25" x14ac:dyDescent="0.25">
      <c r="A1024" t="s">
        <v>5251</v>
      </c>
      <c r="C1024" t="s">
        <v>1643</v>
      </c>
      <c r="D1024">
        <v>0</v>
      </c>
      <c r="H1024">
        <f t="shared" si="15"/>
        <v>0</v>
      </c>
      <c r="I1024" t="s">
        <v>2</v>
      </c>
      <c r="X1024" t="s">
        <v>17</v>
      </c>
    </row>
    <row r="1025" spans="1:25" x14ac:dyDescent="0.25">
      <c r="A1025" t="s">
        <v>5251</v>
      </c>
      <c r="C1025" t="s">
        <v>1644</v>
      </c>
      <c r="D1025">
        <v>0</v>
      </c>
      <c r="H1025">
        <f t="shared" si="15"/>
        <v>0</v>
      </c>
      <c r="I1025" t="s">
        <v>2</v>
      </c>
      <c r="X1025" t="s">
        <v>17</v>
      </c>
    </row>
    <row r="1026" spans="1:25" x14ac:dyDescent="0.25">
      <c r="A1026" t="s">
        <v>5251</v>
      </c>
      <c r="C1026" t="s">
        <v>1645</v>
      </c>
      <c r="D1026">
        <v>1</v>
      </c>
      <c r="H1026">
        <f t="shared" si="15"/>
        <v>0</v>
      </c>
      <c r="I1026" t="s">
        <v>2</v>
      </c>
      <c r="X1026" t="s">
        <v>17</v>
      </c>
    </row>
    <row r="1027" spans="1:25" x14ac:dyDescent="0.25">
      <c r="A1027" t="s">
        <v>5251</v>
      </c>
      <c r="C1027" t="s">
        <v>1646</v>
      </c>
      <c r="D1027">
        <v>0</v>
      </c>
      <c r="H1027">
        <f t="shared" ref="H1027:H1090" si="16">IF(F1027="",E1027, F1027 &amp; " - Original Helptext: " &amp;E1027)</f>
        <v>0</v>
      </c>
      <c r="I1027" t="s">
        <v>2</v>
      </c>
      <c r="X1027" t="s">
        <v>17</v>
      </c>
    </row>
    <row r="1028" spans="1:25" x14ac:dyDescent="0.25">
      <c r="A1028" t="s">
        <v>5251</v>
      </c>
      <c r="C1028" t="s">
        <v>1647</v>
      </c>
      <c r="D1028">
        <v>0</v>
      </c>
      <c r="E1028" t="s">
        <v>1648</v>
      </c>
      <c r="H1028" t="str">
        <f t="shared" si="16"/>
        <v>Wingman warrior centering hack.</v>
      </c>
      <c r="I1028" t="s">
        <v>2</v>
      </c>
    </row>
    <row r="1029" spans="1:25" x14ac:dyDescent="0.25">
      <c r="A1029" t="s">
        <v>5251</v>
      </c>
      <c r="C1029" t="s">
        <v>1649</v>
      </c>
      <c r="D1029">
        <v>0</v>
      </c>
      <c r="E1029" t="s">
        <v>1650</v>
      </c>
      <c r="H1029" t="str">
        <f t="shared" si="16"/>
        <v>Wingman warrior hack related to turn axes.</v>
      </c>
      <c r="I1029" t="s">
        <v>2</v>
      </c>
      <c r="X1029" t="s">
        <v>17</v>
      </c>
    </row>
    <row r="1030" spans="1:25" x14ac:dyDescent="0.25">
      <c r="A1030" t="s">
        <v>5251</v>
      </c>
      <c r="C1030" t="s">
        <v>1651</v>
      </c>
      <c r="D1030">
        <v>-1</v>
      </c>
      <c r="E1030" t="s">
        <v>1652</v>
      </c>
      <c r="H1030" t="str">
        <f t="shared" si="16"/>
        <v>joystick yaw sensitivity</v>
      </c>
      <c r="I1030" t="s">
        <v>2</v>
      </c>
      <c r="X1030" t="s">
        <v>17</v>
      </c>
      <c r="Y1030" t="s">
        <v>18</v>
      </c>
    </row>
    <row r="1031" spans="1:25" x14ac:dyDescent="0.25">
      <c r="A1031" t="s">
        <v>5251</v>
      </c>
      <c r="C1031" t="s">
        <v>1653</v>
      </c>
      <c r="D1031">
        <v>0</v>
      </c>
      <c r="H1031">
        <f t="shared" si="16"/>
        <v>0</v>
      </c>
      <c r="I1031" t="s">
        <v>2</v>
      </c>
      <c r="X1031" t="s">
        <v>17</v>
      </c>
    </row>
    <row r="1032" spans="1:25" x14ac:dyDescent="0.25">
      <c r="A1032" t="s">
        <v>5251</v>
      </c>
      <c r="C1032" t="s">
        <v>1654</v>
      </c>
      <c r="D1032" t="s">
        <v>25</v>
      </c>
      <c r="H1032">
        <f t="shared" si="16"/>
        <v>0</v>
      </c>
    </row>
    <row r="1033" spans="1:25" x14ac:dyDescent="0.25">
      <c r="A1033" t="s">
        <v>5251</v>
      </c>
      <c r="C1033" t="s">
        <v>1655</v>
      </c>
      <c r="D1033">
        <v>1</v>
      </c>
      <c r="E1033" t="s">
        <v>1656</v>
      </c>
      <c r="H1033" t="str">
        <f t="shared" si="16"/>
        <v>True if the joystick is enabled, false otherwise.</v>
      </c>
      <c r="I1033" t="s">
        <v>2</v>
      </c>
      <c r="X1033" t="s">
        <v>17</v>
      </c>
    </row>
    <row r="1034" spans="1:25" x14ac:dyDescent="0.25">
      <c r="A1034" t="s">
        <v>5251</v>
      </c>
      <c r="C1034" t="s">
        <v>1657</v>
      </c>
      <c r="D1034">
        <v>1</v>
      </c>
      <c r="E1034" t="s">
        <v>1658</v>
      </c>
      <c r="H1034" t="str">
        <f t="shared" si="16"/>
        <v>Prevents any and all joystick input for cases where a piece of hardware is incorrectly identified as a joystick an sends bad si</v>
      </c>
      <c r="I1034" t="s">
        <v>2</v>
      </c>
      <c r="X1034" t="s">
        <v>17</v>
      </c>
    </row>
    <row r="1035" spans="1:25" x14ac:dyDescent="0.25">
      <c r="A1035" t="s">
        <v>5251</v>
      </c>
      <c r="C1035" t="s">
        <v>1659</v>
      </c>
      <c r="D1035">
        <v>1</v>
      </c>
      <c r="E1035" t="s">
        <v>1660</v>
      </c>
      <c r="H1035" t="str">
        <f t="shared" si="16"/>
        <v>Sets controllers enabled/disabled just before the config is written.</v>
      </c>
      <c r="I1035" t="s">
        <v>2</v>
      </c>
      <c r="X1035" t="s">
        <v>17</v>
      </c>
    </row>
    <row r="1036" spans="1:25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  <c r="H1036" t="str">
        <f t="shared" si="16"/>
        <v>Take a jpeg screenshot:  jpeg &lt;filename&gt; &lt;quality 1-100&gt;.</v>
      </c>
    </row>
    <row r="1037" spans="1:25" x14ac:dyDescent="0.25">
      <c r="A1037" t="s">
        <v>5251</v>
      </c>
      <c r="B1037" t="s">
        <v>5258</v>
      </c>
      <c r="C1037" t="s">
        <v>1663</v>
      </c>
      <c r="D1037" t="s">
        <v>25</v>
      </c>
      <c r="H1037">
        <f t="shared" si="16"/>
        <v>0</v>
      </c>
    </row>
    <row r="1038" spans="1:25" x14ac:dyDescent="0.25">
      <c r="A1038" t="s">
        <v>5251</v>
      </c>
      <c r="B1038" t="s">
        <v>5258</v>
      </c>
      <c r="C1038" t="s">
        <v>1664</v>
      </c>
      <c r="D1038" t="s">
        <v>25</v>
      </c>
      <c r="H1038">
        <f t="shared" si="16"/>
        <v>0</v>
      </c>
    </row>
    <row r="1039" spans="1:25" x14ac:dyDescent="0.25">
      <c r="A1039" t="s">
        <v>5251</v>
      </c>
      <c r="C1039" t="s">
        <v>1665</v>
      </c>
      <c r="D1039" t="s">
        <v>25</v>
      </c>
      <c r="E1039" t="s">
        <v>1666</v>
      </c>
      <c r="H1039" t="str">
        <f t="shared" si="16"/>
        <v>Tests spatial partition for entities queries.</v>
      </c>
    </row>
    <row r="1040" spans="1:25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  <c r="H1040" t="str">
        <f t="shared" si="16"/>
        <v>Find key bound to specified command string.</v>
      </c>
    </row>
    <row r="1041" spans="1:12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  <c r="H1041" t="str">
        <f t="shared" si="16"/>
        <v>List bound keys with bindings.</v>
      </c>
    </row>
    <row r="1042" spans="1:12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  <c r="H1042" t="str">
        <f t="shared" si="16"/>
        <v>Updates game keyboard layout to current windows keyboard setting.</v>
      </c>
    </row>
    <row r="1043" spans="1:12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  <c r="H1043" t="str">
        <f t="shared" si="16"/>
        <v>Kick a player by name.</v>
      </c>
    </row>
    <row r="1044" spans="1:12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  <c r="H1044" t="str">
        <f t="shared" si="16"/>
        <v>Kick a player by userid or uniqueid, with a message.</v>
      </c>
    </row>
    <row r="1045" spans="1:12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  <c r="H1045" t="str">
        <f t="shared" si="16"/>
        <v>Kick a player by userid or uniqueid, provide a force-the-kick flag and also assign a message.</v>
      </c>
    </row>
    <row r="1046" spans="1:12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  <c r="H1046" t="str">
        <f t="shared" si="16"/>
        <v>Kills the player with generic damage</v>
      </c>
    </row>
    <row r="1047" spans="1:12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  <c r="H1047" t="str">
        <f t="shared" si="16"/>
        <v>Shutdown the server.</v>
      </c>
    </row>
    <row r="1048" spans="1:12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  <c r="H1048" t="str">
        <f t="shared" si="16"/>
        <v>Kills a player applying force. Usage: killvector &lt;player&gt; &lt;x value&gt; &lt;y value&gt; &lt;z value&gt;</v>
      </c>
    </row>
    <row r="1049" spans="1:12" x14ac:dyDescent="0.25">
      <c r="A1049" t="s">
        <v>5251</v>
      </c>
      <c r="B1049" t="s">
        <v>25</v>
      </c>
      <c r="C1049" t="s">
        <v>1685</v>
      </c>
      <c r="D1049" t="s">
        <v>25</v>
      </c>
      <c r="H1049">
        <f t="shared" si="16"/>
        <v>0</v>
      </c>
    </row>
    <row r="1050" spans="1:12" x14ac:dyDescent="0.25">
      <c r="A1050" t="s">
        <v>5251</v>
      </c>
      <c r="B1050" t="s">
        <v>25</v>
      </c>
      <c r="C1050" t="s">
        <v>1686</v>
      </c>
      <c r="D1050" t="s">
        <v>25</v>
      </c>
      <c r="H1050">
        <f t="shared" si="16"/>
        <v>0</v>
      </c>
    </row>
    <row r="1051" spans="1:12" x14ac:dyDescent="0.25">
      <c r="A1051" t="s">
        <v>5253</v>
      </c>
      <c r="B1051" t="s">
        <v>5258</v>
      </c>
      <c r="C1051" t="s">
        <v>1687</v>
      </c>
      <c r="D1051" t="s">
        <v>25</v>
      </c>
      <c r="H1051">
        <f t="shared" si="16"/>
        <v>0</v>
      </c>
    </row>
    <row r="1052" spans="1:12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  <c r="H1052" t="str">
        <f t="shared" si="16"/>
        <v>Launches warmup map</v>
      </c>
    </row>
    <row r="1053" spans="1:12" x14ac:dyDescent="0.25">
      <c r="A1053" t="s">
        <v>5251</v>
      </c>
      <c r="B1053" t="s">
        <v>25</v>
      </c>
      <c r="C1053" t="s">
        <v>1690</v>
      </c>
      <c r="D1053" t="s">
        <v>25</v>
      </c>
      <c r="H1053">
        <f t="shared" si="16"/>
        <v>0</v>
      </c>
    </row>
    <row r="1054" spans="1:12" x14ac:dyDescent="0.25">
      <c r="A1054" t="s">
        <v>5251</v>
      </c>
      <c r="B1054" t="s">
        <v>25</v>
      </c>
      <c r="C1054" t="s">
        <v>1691</v>
      </c>
      <c r="D1054" t="s">
        <v>25</v>
      </c>
      <c r="H1054">
        <f t="shared" si="16"/>
        <v>0</v>
      </c>
    </row>
    <row r="1055" spans="1:12" x14ac:dyDescent="0.25">
      <c r="A1055" t="s">
        <v>5251</v>
      </c>
      <c r="C1055" t="s">
        <v>1692</v>
      </c>
      <c r="D1055" t="s">
        <v>25</v>
      </c>
      <c r="E1055" t="s">
        <v>1693</v>
      </c>
      <c r="H1055" t="str">
        <f t="shared" si="16"/>
        <v>Show texture color at crosshair</v>
      </c>
    </row>
    <row r="1056" spans="1:12" x14ac:dyDescent="0.25">
      <c r="A1056" t="s">
        <v>5251</v>
      </c>
      <c r="C1056" t="s">
        <v>1694</v>
      </c>
      <c r="D1056">
        <v>2</v>
      </c>
      <c r="H1056">
        <f t="shared" si="16"/>
        <v>0</v>
      </c>
      <c r="L1056" t="s">
        <v>5</v>
      </c>
    </row>
    <row r="1057" spans="1:24" x14ac:dyDescent="0.25">
      <c r="A1057" t="s">
        <v>5251</v>
      </c>
      <c r="C1057" t="s">
        <v>1695</v>
      </c>
      <c r="D1057" t="s">
        <v>25</v>
      </c>
      <c r="E1057" t="s">
        <v>5200</v>
      </c>
      <c r="H1057" t="str">
        <f t="shared" si="16"/>
        <v>Samples the lighting environment. Creates a cubemap and a file indicating the local lighting in a subdirectory called 'material</v>
      </c>
    </row>
    <row r="1058" spans="1:24" x14ac:dyDescent="0.25">
      <c r="A1058" t="s">
        <v>5251</v>
      </c>
      <c r="C1058" t="s">
        <v>1696</v>
      </c>
      <c r="D1058" t="s">
        <v>25</v>
      </c>
      <c r="E1058" t="s">
        <v>1697</v>
      </c>
      <c r="H1058" t="str">
        <f t="shared" si="16"/>
        <v>Parses map leak data from .lin file</v>
      </c>
    </row>
    <row r="1059" spans="1:24" x14ac:dyDescent="0.25">
      <c r="A1059" t="s">
        <v>5251</v>
      </c>
      <c r="C1059" t="s">
        <v>1698</v>
      </c>
      <c r="D1059" t="s">
        <v>25</v>
      </c>
      <c r="E1059" t="s">
        <v>1699</v>
      </c>
      <c r="H1059" t="str">
        <f t="shared" si="16"/>
        <v>List demo file contents.</v>
      </c>
    </row>
    <row r="1060" spans="1:24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  <c r="H1060" t="str">
        <f t="shared" si="16"/>
        <v>Lists banned users.</v>
      </c>
    </row>
    <row r="1061" spans="1:24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  <c r="H1061" t="str">
        <f t="shared" si="16"/>
        <v>List IP addresses on the ban list.</v>
      </c>
    </row>
    <row r="1062" spans="1:24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  <c r="H1062" t="str">
        <f t="shared" si="16"/>
        <v>List all the issues that can be voted on.</v>
      </c>
    </row>
    <row r="1063" spans="1:24" x14ac:dyDescent="0.25">
      <c r="A1063" t="s">
        <v>5251</v>
      </c>
      <c r="C1063" t="s">
        <v>1706</v>
      </c>
      <c r="D1063" t="s">
        <v>25</v>
      </c>
      <c r="E1063" t="s">
        <v>1707</v>
      </c>
      <c r="H1063" t="str">
        <f t="shared" si="16"/>
        <v>List loaded models.</v>
      </c>
    </row>
    <row r="1064" spans="1:24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  <c r="H1064" t="str">
        <f t="shared" si="16"/>
        <v>Displays a list of the last 5 lines of speech from NPCs.</v>
      </c>
    </row>
    <row r="1065" spans="1:24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  <c r="H1065" t="str">
        <f t="shared" si="16"/>
        <v>Load a saved game.</v>
      </c>
    </row>
    <row r="1066" spans="1:24" x14ac:dyDescent="0.25">
      <c r="A1066" t="s">
        <v>5251</v>
      </c>
      <c r="C1066" t="s">
        <v>1712</v>
      </c>
      <c r="D1066" t="s">
        <v>25</v>
      </c>
      <c r="H1066">
        <f t="shared" si="16"/>
        <v>0</v>
      </c>
    </row>
    <row r="1067" spans="1:24" x14ac:dyDescent="0.25">
      <c r="A1067" t="s">
        <v>5251</v>
      </c>
      <c r="C1067" t="s">
        <v>1713</v>
      </c>
      <c r="D1067" t="s">
        <v>25</v>
      </c>
      <c r="H1067">
        <f t="shared" si="16"/>
        <v>0</v>
      </c>
    </row>
    <row r="1068" spans="1:24" x14ac:dyDescent="0.25">
      <c r="A1068" t="s">
        <v>5251</v>
      </c>
      <c r="C1068" t="s">
        <v>1714</v>
      </c>
      <c r="D1068">
        <v>1</v>
      </c>
      <c r="E1068" t="s">
        <v>1715</v>
      </c>
      <c r="H1068" t="str">
        <f t="shared" si="16"/>
        <v>Lobby default permissions (0: private, 1: public)</v>
      </c>
      <c r="I1068" t="s">
        <v>2</v>
      </c>
      <c r="X1068" t="s">
        <v>17</v>
      </c>
    </row>
    <row r="1069" spans="1:24" x14ac:dyDescent="0.25">
      <c r="A1069" t="s">
        <v>5251</v>
      </c>
      <c r="C1069" t="s">
        <v>1716</v>
      </c>
      <c r="D1069" t="s">
        <v>25</v>
      </c>
      <c r="E1069" t="s">
        <v>1716</v>
      </c>
      <c r="H1069" t="str">
        <f t="shared" si="16"/>
        <v>localization_quest_item_string_printout</v>
      </c>
    </row>
    <row r="1070" spans="1:24" x14ac:dyDescent="0.25">
      <c r="A1070" t="s">
        <v>5251</v>
      </c>
      <c r="C1070" t="s">
        <v>1717</v>
      </c>
      <c r="D1070">
        <v>0</v>
      </c>
      <c r="H1070">
        <f t="shared" si="16"/>
        <v>0</v>
      </c>
      <c r="L1070" t="s">
        <v>5</v>
      </c>
      <c r="X1070" t="s">
        <v>17</v>
      </c>
    </row>
    <row r="1071" spans="1:24" x14ac:dyDescent="0.25">
      <c r="A1071" t="s">
        <v>5251</v>
      </c>
      <c r="C1071" t="s">
        <v>1718</v>
      </c>
      <c r="D1071">
        <v>0</v>
      </c>
      <c r="H1071">
        <f t="shared" si="16"/>
        <v>0</v>
      </c>
      <c r="L1071" t="s">
        <v>5</v>
      </c>
      <c r="X1071" t="s">
        <v>17</v>
      </c>
    </row>
    <row r="1072" spans="1:24" x14ac:dyDescent="0.25">
      <c r="A1072" t="s">
        <v>5251</v>
      </c>
      <c r="C1072" t="s">
        <v>1719</v>
      </c>
      <c r="D1072">
        <v>0</v>
      </c>
      <c r="H1072">
        <f t="shared" si="16"/>
        <v>0</v>
      </c>
      <c r="I1072" t="s">
        <v>2</v>
      </c>
      <c r="X1072" t="s">
        <v>17</v>
      </c>
    </row>
    <row r="1073" spans="1:8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  <c r="H1073" t="str">
        <f t="shared" si="16"/>
        <v>Enables logging to file, console, and udp &lt; on | off &gt;.</v>
      </c>
    </row>
    <row r="1074" spans="1:8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  <c r="H1074" t="str">
        <f t="shared" si="16"/>
        <v>Set the color of a logging channel.</v>
      </c>
    </row>
    <row r="1075" spans="1:8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  <c r="H1075" t="str">
        <f t="shared" si="16"/>
        <v>Dumps information about all logging channels.</v>
      </c>
    </row>
    <row r="1076" spans="1:8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  <c r="H1076" t="str">
        <f t="shared" si="16"/>
        <v>Set the flags on a logging channel.</v>
      </c>
    </row>
    <row r="1077" spans="1:8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  <c r="H1077" t="str">
        <f t="shared" si="16"/>
        <v>Set the spew level of a logging channel.</v>
      </c>
    </row>
    <row r="1078" spans="1:8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  <c r="H1078" t="str">
        <f t="shared" si="16"/>
        <v>Set address and port for remote host &lt;ip:port&gt;.</v>
      </c>
    </row>
    <row r="1079" spans="1:8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  <c r="H1079" t="str">
        <f t="shared" si="16"/>
        <v>Set address and port for remote host &lt;ip:port&gt; and supplies a unique token in the UDP packets.</v>
      </c>
    </row>
    <row r="1080" spans="1:8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  <c r="H1080" t="str">
        <f t="shared" si="16"/>
        <v>Set URI of a listener to receive logs via http post. Wrap URI in double quotes.</v>
      </c>
    </row>
    <row r="1081" spans="1:8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  <c r="H1081" t="str">
        <f t="shared" si="16"/>
        <v>Set a delay and URI of a listener to receive logs via http post. Wrap URI in double quotes.</v>
      </c>
    </row>
    <row r="1082" spans="1:8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  <c r="H1082" t="str">
        <f t="shared" si="16"/>
        <v>Set address and port for remote host &lt;ip:port&gt; and uses a unique checksum from logaddress_token_secret in the UDP packets.</v>
      </c>
    </row>
    <row r="1083" spans="1:8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  <c r="H1083" t="str">
        <f t="shared" si="16"/>
        <v>Remove address and port for remote host &lt;ip:port&gt;.</v>
      </c>
    </row>
    <row r="1084" spans="1:8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  <c r="H1084" t="str">
        <f t="shared" si="16"/>
        <v>Remove all udp addresses being logged to</v>
      </c>
    </row>
    <row r="1085" spans="1:8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  <c r="H1085" t="str">
        <f t="shared" si="16"/>
        <v>Remove all http listeners from the dispatch list.</v>
      </c>
    </row>
    <row r="1086" spans="1:8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  <c r="H1086" t="str">
        <f t="shared" si="16"/>
        <v>List all addresses currently being used by logaddress.</v>
      </c>
    </row>
    <row r="1087" spans="1:8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  <c r="H1087" t="str">
        <f t="shared" si="16"/>
        <v>List all URIs currently receiving server logs</v>
      </c>
    </row>
    <row r="1088" spans="1:8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  <c r="H1088" t="str">
        <f t="shared" si="16"/>
        <v>Set a secret string that will be hashed when using logaddress with explicit token hash.</v>
      </c>
    </row>
    <row r="1089" spans="1:24" x14ac:dyDescent="0.25">
      <c r="A1089" t="s">
        <v>5251</v>
      </c>
      <c r="B1089" t="s">
        <v>5258</v>
      </c>
      <c r="C1089" t="s">
        <v>1752</v>
      </c>
      <c r="D1089" t="s">
        <v>25</v>
      </c>
      <c r="H1089">
        <f t="shared" si="16"/>
        <v>0</v>
      </c>
    </row>
    <row r="1090" spans="1:24" x14ac:dyDescent="0.25">
      <c r="A1090" t="s">
        <v>5251</v>
      </c>
      <c r="B1090" t="s">
        <v>5258</v>
      </c>
      <c r="C1090" t="s">
        <v>1753</v>
      </c>
      <c r="D1090" t="s">
        <v>25</v>
      </c>
      <c r="H1090">
        <f t="shared" si="16"/>
        <v>0</v>
      </c>
    </row>
    <row r="1091" spans="1:24" x14ac:dyDescent="0.25">
      <c r="A1091" t="s">
        <v>5251</v>
      </c>
      <c r="B1091" t="s">
        <v>5258</v>
      </c>
      <c r="C1091" t="s">
        <v>1754</v>
      </c>
      <c r="D1091" t="s">
        <v>25</v>
      </c>
      <c r="H1091">
        <f t="shared" ref="H1091:H1154" si="17">IF(F1091="",E1091, F1091 &amp; " - Original Helptext: " &amp;E1091)</f>
        <v>0</v>
      </c>
    </row>
    <row r="1092" spans="1:24" x14ac:dyDescent="0.25">
      <c r="A1092" t="s">
        <v>5251</v>
      </c>
      <c r="B1092" t="s">
        <v>5258</v>
      </c>
      <c r="C1092" t="s">
        <v>1755</v>
      </c>
      <c r="D1092" t="s">
        <v>25</v>
      </c>
      <c r="H1092">
        <f t="shared" si="17"/>
        <v>0</v>
      </c>
    </row>
    <row r="1093" spans="1:24" x14ac:dyDescent="0.25">
      <c r="A1093" t="s">
        <v>5251</v>
      </c>
      <c r="C1093" t="s">
        <v>1756</v>
      </c>
      <c r="D1093">
        <v>0</v>
      </c>
      <c r="H1093">
        <f t="shared" si="17"/>
        <v>0</v>
      </c>
      <c r="I1093" t="s">
        <v>2</v>
      </c>
      <c r="X1093" t="s">
        <v>17</v>
      </c>
    </row>
    <row r="1094" spans="1:24" x14ac:dyDescent="0.25">
      <c r="A1094" t="s">
        <v>5251</v>
      </c>
      <c r="C1094" t="s">
        <v>1757</v>
      </c>
      <c r="D1094">
        <v>0</v>
      </c>
      <c r="H1094">
        <f t="shared" si="17"/>
        <v>0</v>
      </c>
      <c r="I1094" t="s">
        <v>2</v>
      </c>
      <c r="X1094" t="s">
        <v>17</v>
      </c>
    </row>
    <row r="1095" spans="1:24" x14ac:dyDescent="0.25">
      <c r="A1095" t="s">
        <v>5251</v>
      </c>
      <c r="B1095" t="s">
        <v>25</v>
      </c>
      <c r="C1095" t="s">
        <v>1758</v>
      </c>
      <c r="D1095" t="s">
        <v>25</v>
      </c>
      <c r="H1095">
        <f t="shared" si="17"/>
        <v>0</v>
      </c>
    </row>
    <row r="1096" spans="1:24" x14ac:dyDescent="0.25">
      <c r="A1096" t="s">
        <v>5251</v>
      </c>
      <c r="B1096" t="s">
        <v>25</v>
      </c>
      <c r="C1096" t="s">
        <v>1759</v>
      </c>
      <c r="D1096" t="s">
        <v>25</v>
      </c>
      <c r="H1096">
        <f t="shared" si="17"/>
        <v>0</v>
      </c>
    </row>
    <row r="1097" spans="1:24" x14ac:dyDescent="0.25">
      <c r="A1097" t="s">
        <v>5251</v>
      </c>
      <c r="C1097" t="s">
        <v>1760</v>
      </c>
      <c r="D1097">
        <v>0</v>
      </c>
      <c r="H1097">
        <f t="shared" si="17"/>
        <v>0</v>
      </c>
      <c r="K1097" t="s">
        <v>4</v>
      </c>
      <c r="L1097" t="s">
        <v>5</v>
      </c>
      <c r="S1097" t="s">
        <v>12</v>
      </c>
    </row>
    <row r="1098" spans="1:24" x14ac:dyDescent="0.25">
      <c r="A1098" t="s">
        <v>5251</v>
      </c>
      <c r="C1098" t="s">
        <v>1761</v>
      </c>
      <c r="D1098">
        <v>0</v>
      </c>
      <c r="E1098" t="s">
        <v>5201</v>
      </c>
      <c r="H1098" t="str">
        <f t="shared" si="17"/>
        <v xml:space="preserve">Custom mouse acceleration: 0: custom accelaration disabled 1: mouse_acceleration = min(m_customaccel_max, pow(raw_mouse_delta, </v>
      </c>
      <c r="I1098" t="s">
        <v>2</v>
      </c>
      <c r="X1098" t="s">
        <v>17</v>
      </c>
    </row>
    <row r="1099" spans="1:24" x14ac:dyDescent="0.25">
      <c r="A1099" t="s">
        <v>5251</v>
      </c>
      <c r="C1099" t="s">
        <v>1762</v>
      </c>
      <c r="D1099">
        <v>1</v>
      </c>
      <c r="E1099" t="s">
        <v>1763</v>
      </c>
      <c r="H1099" t="str">
        <f t="shared" si="17"/>
        <v>Mouse move is raised to this power before being scaled by scale factor.</v>
      </c>
      <c r="I1099" t="s">
        <v>2</v>
      </c>
      <c r="X1099" t="s">
        <v>17</v>
      </c>
    </row>
    <row r="1100" spans="1:24" x14ac:dyDescent="0.25">
      <c r="A1100" t="s">
        <v>5251</v>
      </c>
      <c r="C1100" t="s">
        <v>1764</v>
      </c>
      <c r="D1100">
        <v>0</v>
      </c>
      <c r="E1100" t="s">
        <v>1765</v>
      </c>
      <c r="H1100" t="str">
        <f t="shared" si="17"/>
        <v>Max mouse move scale factor, 0 for no limit</v>
      </c>
      <c r="I1100" t="s">
        <v>2</v>
      </c>
      <c r="X1100" t="s">
        <v>17</v>
      </c>
    </row>
    <row r="1101" spans="1:24" x14ac:dyDescent="0.25">
      <c r="A1101" t="s">
        <v>5251</v>
      </c>
      <c r="C1101" t="s">
        <v>1766</v>
      </c>
      <c r="D1101">
        <v>0</v>
      </c>
      <c r="E1101" t="s">
        <v>1767</v>
      </c>
      <c r="H1101" t="str">
        <f t="shared" si="17"/>
        <v>Custom mouse acceleration value.</v>
      </c>
      <c r="I1101" t="s">
        <v>2</v>
      </c>
      <c r="X1101" t="s">
        <v>17</v>
      </c>
    </row>
    <row r="1102" spans="1:24" x14ac:dyDescent="0.25">
      <c r="A1102" t="s">
        <v>5251</v>
      </c>
      <c r="C1102" t="s">
        <v>1768</v>
      </c>
      <c r="D1102">
        <v>1</v>
      </c>
      <c r="E1102" t="s">
        <v>1769</v>
      </c>
      <c r="H1102" t="str">
        <f t="shared" si="17"/>
        <v>Mouse forward factor.</v>
      </c>
      <c r="I1102" t="s">
        <v>2</v>
      </c>
      <c r="X1102" t="s">
        <v>17</v>
      </c>
    </row>
    <row r="1103" spans="1:24" x14ac:dyDescent="0.25">
      <c r="A1103" t="s">
        <v>5251</v>
      </c>
      <c r="C1103" t="s">
        <v>1770</v>
      </c>
      <c r="D1103">
        <v>0</v>
      </c>
      <c r="E1103" t="s">
        <v>1771</v>
      </c>
      <c r="H1103" t="str">
        <f t="shared" si="17"/>
        <v>Windows mouse acceleration initial threshold (2x movement).</v>
      </c>
      <c r="I1103" t="s">
        <v>2</v>
      </c>
      <c r="X1103" t="s">
        <v>17</v>
      </c>
    </row>
    <row r="1104" spans="1:24" x14ac:dyDescent="0.25">
      <c r="A1104" t="s">
        <v>5251</v>
      </c>
      <c r="C1104" t="s">
        <v>1772</v>
      </c>
      <c r="D1104">
        <v>0</v>
      </c>
      <c r="E1104" t="s">
        <v>1773</v>
      </c>
      <c r="H1104" t="str">
        <f t="shared" si="17"/>
        <v>Windows mouse acceleration secondary threshold (4x movement).</v>
      </c>
      <c r="I1104" t="s">
        <v>2</v>
      </c>
      <c r="X1104" t="s">
        <v>17</v>
      </c>
    </row>
    <row r="1105" spans="1:25" x14ac:dyDescent="0.25">
      <c r="A1105" t="s">
        <v>5251</v>
      </c>
      <c r="C1105" t="s">
        <v>1774</v>
      </c>
      <c r="D1105">
        <v>1</v>
      </c>
      <c r="E1105" t="s">
        <v>1775</v>
      </c>
      <c r="H1105" t="str">
        <f t="shared" si="17"/>
        <v>Windows mouse acceleration (0 to disable, 1 to enable [Windows 2000: enable initial threshold], 2 to enable secondary threshold</v>
      </c>
      <c r="I1105" t="s">
        <v>2</v>
      </c>
      <c r="X1105" t="s">
        <v>17</v>
      </c>
    </row>
    <row r="1106" spans="1:25" x14ac:dyDescent="0.25">
      <c r="A1106" t="s">
        <v>5251</v>
      </c>
      <c r="C1106" t="s">
        <v>1776</v>
      </c>
      <c r="D1106">
        <v>0</v>
      </c>
      <c r="E1106" t="s">
        <v>1777</v>
      </c>
      <c r="H1106" t="str">
        <f t="shared" si="17"/>
        <v>Mouse pitch factor.</v>
      </c>
      <c r="I1106" t="s">
        <v>2</v>
      </c>
      <c r="X1106" t="s">
        <v>17</v>
      </c>
      <c r="Y1106" t="s">
        <v>18</v>
      </c>
    </row>
    <row r="1107" spans="1:25" x14ac:dyDescent="0.25">
      <c r="A1107" t="s">
        <v>5251</v>
      </c>
      <c r="C1107" t="s">
        <v>1778</v>
      </c>
      <c r="D1107">
        <v>1</v>
      </c>
      <c r="E1107" t="s">
        <v>1779</v>
      </c>
      <c r="H1107" t="str">
        <f t="shared" si="17"/>
        <v>Use Raw Input for mouse input.</v>
      </c>
      <c r="I1107" t="s">
        <v>2</v>
      </c>
      <c r="X1107" t="s">
        <v>17</v>
      </c>
    </row>
    <row r="1108" spans="1:25" x14ac:dyDescent="0.25">
      <c r="A1108" t="s">
        <v>5251</v>
      </c>
      <c r="C1108" t="s">
        <v>1780</v>
      </c>
      <c r="D1108">
        <v>0</v>
      </c>
      <c r="E1108" t="s">
        <v>1781</v>
      </c>
      <c r="H1108" t="str">
        <f t="shared" si="17"/>
        <v>Mouse side factor.</v>
      </c>
      <c r="I1108" t="s">
        <v>2</v>
      </c>
      <c r="X1108" t="s">
        <v>17</v>
      </c>
    </row>
    <row r="1109" spans="1:25" x14ac:dyDescent="0.25">
      <c r="A1109" t="s">
        <v>5251</v>
      </c>
      <c r="C1109" t="s">
        <v>1782</v>
      </c>
      <c r="D1109">
        <v>0</v>
      </c>
      <c r="E1109" t="s">
        <v>1783</v>
      </c>
      <c r="H1109" t="str">
        <f t="shared" si="17"/>
        <v>Mouse yaw factor.</v>
      </c>
      <c r="I1109" t="s">
        <v>2</v>
      </c>
      <c r="X1109" t="s">
        <v>17</v>
      </c>
    </row>
    <row r="1110" spans="1:25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  <c r="H1110" t="str">
        <f t="shared" si="17"/>
        <v>Start playing on specified map.</v>
      </c>
    </row>
    <row r="1111" spans="1:25" x14ac:dyDescent="0.25">
      <c r="A1111" t="s">
        <v>5251</v>
      </c>
      <c r="C1111" t="s">
        <v>1786</v>
      </c>
      <c r="D1111" t="s">
        <v>25</v>
      </c>
      <c r="E1111" t="s">
        <v>1787</v>
      </c>
      <c r="H1111" t="str">
        <f t="shared" si="17"/>
        <v>Runs a map as the background to the main menu.</v>
      </c>
    </row>
    <row r="1112" spans="1:25" x14ac:dyDescent="0.25">
      <c r="A1112" t="s">
        <v>5251</v>
      </c>
      <c r="C1112" t="s">
        <v>1788</v>
      </c>
      <c r="D1112" t="s">
        <v>25</v>
      </c>
      <c r="E1112" t="s">
        <v>1789</v>
      </c>
      <c r="H1112" t="str">
        <f t="shared" si="17"/>
        <v>Start playing, with commentary, on a specified map.</v>
      </c>
    </row>
    <row r="1113" spans="1:25" x14ac:dyDescent="0.25">
      <c r="A1113" t="s">
        <v>5251</v>
      </c>
      <c r="C1113" t="s">
        <v>1790</v>
      </c>
      <c r="D1113" t="s">
        <v>25</v>
      </c>
      <c r="H1113">
        <f t="shared" si="17"/>
        <v>0</v>
      </c>
    </row>
    <row r="1114" spans="1:25" x14ac:dyDescent="0.25">
      <c r="A1114" t="s">
        <v>5251</v>
      </c>
      <c r="C1114" t="s">
        <v>1791</v>
      </c>
      <c r="D1114" t="s">
        <v>25</v>
      </c>
      <c r="E1114" t="s">
        <v>1792</v>
      </c>
      <c r="H1114" t="str">
        <f t="shared" si="17"/>
        <v>Sets the bomb radius for the map.</v>
      </c>
    </row>
    <row r="1115" spans="1:25" x14ac:dyDescent="0.25">
      <c r="A1115" t="s">
        <v>5251</v>
      </c>
      <c r="C1115" t="s">
        <v>1793</v>
      </c>
      <c r="D1115" t="s">
        <v>25</v>
      </c>
      <c r="E1115" t="s">
        <v>1794</v>
      </c>
      <c r="H1115" t="str">
        <f t="shared" si="17"/>
        <v>Shows bomb radius from the center of each bomb site and planted bomb.</v>
      </c>
    </row>
    <row r="1116" spans="1:25" x14ac:dyDescent="0.25">
      <c r="A1116" t="s">
        <v>5251</v>
      </c>
      <c r="C1116" t="s">
        <v>1795</v>
      </c>
      <c r="D1116" t="s">
        <v>25</v>
      </c>
      <c r="E1116" t="s">
        <v>1796</v>
      </c>
      <c r="H1116" t="str">
        <f t="shared" si="17"/>
        <v>Shows player spawn points (red=invalid). Optionally pass in the duration.</v>
      </c>
    </row>
    <row r="1117" spans="1:25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H1117" t="str">
        <f t="shared" si="17"/>
        <v>repeats the same map after each match instead of using the map cycle</v>
      </c>
      <c r="S1117" t="s">
        <v>12</v>
      </c>
      <c r="X1117" t="s">
        <v>17</v>
      </c>
    </row>
    <row r="1118" spans="1:25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  <c r="H1118" t="str">
        <f t="shared" si="17"/>
        <v>Specify a map group</v>
      </c>
    </row>
    <row r="1119" spans="1:25" x14ac:dyDescent="0.25">
      <c r="A1119" t="s">
        <v>5251</v>
      </c>
      <c r="C1119" t="s">
        <v>1801</v>
      </c>
      <c r="D1119">
        <v>0</v>
      </c>
      <c r="E1119" t="s">
        <v>1802</v>
      </c>
      <c r="H1119" t="str">
        <f t="shared" si="17"/>
        <v>Allow a client to draw on the map overview</v>
      </c>
      <c r="X1119" t="s">
        <v>17</v>
      </c>
    </row>
    <row r="1120" spans="1:25" x14ac:dyDescent="0.25">
      <c r="A1120" t="s">
        <v>5251</v>
      </c>
      <c r="C1120" t="s">
        <v>1803</v>
      </c>
      <c r="D1120">
        <v>0</v>
      </c>
      <c r="E1120" t="s">
        <v>1804</v>
      </c>
      <c r="H1120" t="str">
        <f t="shared" si="17"/>
        <v>When set to 1, allows turning on the (experimental) grid for drawing.</v>
      </c>
      <c r="X1120" t="s">
        <v>17</v>
      </c>
    </row>
    <row r="1121" spans="1:24" x14ac:dyDescent="0.25">
      <c r="A1121" t="s">
        <v>5251</v>
      </c>
      <c r="C1121" t="s">
        <v>1805</v>
      </c>
      <c r="D1121">
        <v>1</v>
      </c>
      <c r="E1121" t="s">
        <v>1806</v>
      </c>
      <c r="H1121" t="str">
        <f t="shared" si="17"/>
        <v>Sets the icon scale multiplier for the overview map. Valid values are 0.5 to 3.0.</v>
      </c>
      <c r="I1121" t="s">
        <v>2</v>
      </c>
      <c r="X1121" t="s">
        <v>17</v>
      </c>
    </row>
    <row r="1122" spans="1:24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  <c r="H1122" t="str">
        <f t="shared" si="17"/>
        <v>Displays list of maps.</v>
      </c>
    </row>
    <row r="1123" spans="1:24" x14ac:dyDescent="0.25">
      <c r="A1123" t="s">
        <v>5251</v>
      </c>
      <c r="C1123" t="s">
        <v>1809</v>
      </c>
      <c r="D1123">
        <v>40</v>
      </c>
      <c r="H1123">
        <f t="shared" si="17"/>
        <v>0</v>
      </c>
      <c r="L1123" t="s">
        <v>5</v>
      </c>
      <c r="X1123" t="s">
        <v>17</v>
      </c>
    </row>
    <row r="1124" spans="1:24" x14ac:dyDescent="0.25">
      <c r="A1124" t="s">
        <v>5251</v>
      </c>
      <c r="C1124" t="s">
        <v>1810</v>
      </c>
      <c r="D1124">
        <v>0</v>
      </c>
      <c r="H1124">
        <f t="shared" si="17"/>
        <v>0</v>
      </c>
      <c r="L1124" t="s">
        <v>5</v>
      </c>
    </row>
    <row r="1125" spans="1:24" x14ac:dyDescent="0.25">
      <c r="A1125" t="s">
        <v>5251</v>
      </c>
      <c r="C1125" t="s">
        <v>1811</v>
      </c>
      <c r="D1125">
        <v>0</v>
      </c>
      <c r="H1125">
        <f t="shared" si="17"/>
        <v>0</v>
      </c>
      <c r="L1125" t="s">
        <v>5</v>
      </c>
    </row>
    <row r="1126" spans="1:24" x14ac:dyDescent="0.25">
      <c r="A1126" t="s">
        <v>5251</v>
      </c>
      <c r="C1126" t="s">
        <v>1812</v>
      </c>
      <c r="D1126">
        <v>0</v>
      </c>
      <c r="H1126">
        <f t="shared" si="17"/>
        <v>0</v>
      </c>
      <c r="L1126" t="s">
        <v>5</v>
      </c>
    </row>
    <row r="1127" spans="1:24" x14ac:dyDescent="0.25">
      <c r="A1127" t="s">
        <v>5251</v>
      </c>
      <c r="C1127" t="s">
        <v>1813</v>
      </c>
      <c r="D1127">
        <v>0</v>
      </c>
      <c r="E1127" t="s">
        <v>1814</v>
      </c>
      <c r="H1127" t="str">
        <f t="shared" si="17"/>
        <v>NOTE: You must change mat_forceaniso after changing this convar for this to take effect</v>
      </c>
      <c r="L1127" t="s">
        <v>5</v>
      </c>
    </row>
    <row r="1128" spans="1:24" x14ac:dyDescent="0.25">
      <c r="A1128" t="s">
        <v>5251</v>
      </c>
      <c r="C1128" t="s">
        <v>1815</v>
      </c>
      <c r="D1128">
        <v>2</v>
      </c>
      <c r="H1128">
        <f t="shared" si="17"/>
        <v>0</v>
      </c>
      <c r="L1128" t="s">
        <v>5</v>
      </c>
      <c r="X1128" t="s">
        <v>17</v>
      </c>
    </row>
    <row r="1129" spans="1:24" x14ac:dyDescent="0.25">
      <c r="A1129" t="s">
        <v>5251</v>
      </c>
      <c r="C1129" t="s">
        <v>1816</v>
      </c>
      <c r="D1129">
        <v>1</v>
      </c>
      <c r="H1129">
        <f t="shared" si="17"/>
        <v>0</v>
      </c>
      <c r="L1129" t="s">
        <v>5</v>
      </c>
      <c r="X1129" t="s">
        <v>17</v>
      </c>
    </row>
    <row r="1130" spans="1:24" x14ac:dyDescent="0.25">
      <c r="A1130" t="s">
        <v>5251</v>
      </c>
      <c r="C1130" t="s">
        <v>1817</v>
      </c>
      <c r="D1130">
        <v>0</v>
      </c>
      <c r="H1130">
        <f t="shared" si="17"/>
        <v>0</v>
      </c>
      <c r="L1130" t="s">
        <v>5</v>
      </c>
      <c r="X1130" t="s">
        <v>17</v>
      </c>
    </row>
    <row r="1131" spans="1:24" x14ac:dyDescent="0.25">
      <c r="A1131" t="s">
        <v>5251</v>
      </c>
      <c r="C1131" t="s">
        <v>1818</v>
      </c>
      <c r="D1131">
        <v>0</v>
      </c>
      <c r="H1131">
        <f t="shared" si="17"/>
        <v>0</v>
      </c>
      <c r="L1131" t="s">
        <v>5</v>
      </c>
      <c r="X1131" t="s">
        <v>17</v>
      </c>
    </row>
    <row r="1132" spans="1:24" x14ac:dyDescent="0.25">
      <c r="A1132" t="s">
        <v>5251</v>
      </c>
      <c r="C1132" t="s">
        <v>1819</v>
      </c>
      <c r="D1132">
        <v>0</v>
      </c>
      <c r="H1132">
        <f t="shared" si="17"/>
        <v>0</v>
      </c>
      <c r="L1132" t="s">
        <v>5</v>
      </c>
    </row>
    <row r="1133" spans="1:24" x14ac:dyDescent="0.25">
      <c r="A1133" t="s">
        <v>5251</v>
      </c>
      <c r="C1133" t="s">
        <v>1820</v>
      </c>
      <c r="D1133">
        <v>128</v>
      </c>
      <c r="H1133">
        <f t="shared" si="17"/>
        <v>0</v>
      </c>
      <c r="L1133" t="s">
        <v>5</v>
      </c>
      <c r="X1133" t="s">
        <v>17</v>
      </c>
    </row>
    <row r="1134" spans="1:24" x14ac:dyDescent="0.25">
      <c r="A1134" t="s">
        <v>5251</v>
      </c>
      <c r="C1134" t="s">
        <v>1821</v>
      </c>
      <c r="D1134">
        <v>0</v>
      </c>
      <c r="E1134" t="s">
        <v>1822</v>
      </c>
      <c r="H1134" t="str">
        <f t="shared" si="17"/>
        <v>Forces color correction entities to be updated on the client</v>
      </c>
      <c r="L1134" t="s">
        <v>5</v>
      </c>
      <c r="X1134" t="s">
        <v>17</v>
      </c>
    </row>
    <row r="1135" spans="1:24" x14ac:dyDescent="0.25">
      <c r="A1135" t="s">
        <v>5251</v>
      </c>
      <c r="C1135" t="s">
        <v>1823</v>
      </c>
      <c r="D1135">
        <v>1</v>
      </c>
      <c r="H1135">
        <f t="shared" si="17"/>
        <v>0</v>
      </c>
      <c r="L1135" t="s">
        <v>5</v>
      </c>
    </row>
    <row r="1136" spans="1:24" x14ac:dyDescent="0.25">
      <c r="A1136" t="s">
        <v>5251</v>
      </c>
      <c r="C1136" t="s">
        <v>1824</v>
      </c>
      <c r="D1136" t="s">
        <v>25</v>
      </c>
      <c r="E1136" t="s">
        <v>1825</v>
      </c>
      <c r="H1136" t="str">
        <f t="shared" si="17"/>
        <v>show the current video control panel config for the material system</v>
      </c>
    </row>
    <row r="1137" spans="1:24" x14ac:dyDescent="0.25">
      <c r="A1137" t="s">
        <v>5251</v>
      </c>
      <c r="C1137" t="s">
        <v>1826</v>
      </c>
      <c r="D1137" t="s">
        <v>25</v>
      </c>
      <c r="E1137" t="s">
        <v>1827</v>
      </c>
      <c r="H1137" t="str">
        <f t="shared" si="17"/>
        <v>Display the name of the material under the crosshair</v>
      </c>
    </row>
    <row r="1138" spans="1:24" x14ac:dyDescent="0.25">
      <c r="A1138" t="s">
        <v>5251</v>
      </c>
      <c r="C1138" t="s">
        <v>1828</v>
      </c>
      <c r="D1138" t="s">
        <v>25</v>
      </c>
      <c r="E1138" t="s">
        <v>1829</v>
      </c>
      <c r="H1138" t="str">
        <f t="shared" si="17"/>
        <v>open the material under the crosshair in the editor defined by mat_crosshair_edit_editor</v>
      </c>
    </row>
    <row r="1139" spans="1:24" x14ac:dyDescent="0.25">
      <c r="A1139" t="s">
        <v>5251</v>
      </c>
      <c r="C1139" t="s">
        <v>1830</v>
      </c>
      <c r="D1139" t="s">
        <v>25</v>
      </c>
      <c r="E1139" t="s">
        <v>1831</v>
      </c>
      <c r="H1139" t="str">
        <f t="shared" si="17"/>
        <v>open the material under the crosshair in explorer and highlight the vmt file</v>
      </c>
    </row>
    <row r="1140" spans="1:24" x14ac:dyDescent="0.25">
      <c r="A1140" t="s">
        <v>5251</v>
      </c>
      <c r="C1140" t="s">
        <v>1832</v>
      </c>
      <c r="D1140" t="s">
        <v>25</v>
      </c>
      <c r="E1140" t="s">
        <v>1833</v>
      </c>
      <c r="H1140" t="str">
        <f t="shared" si="17"/>
        <v>print the material under the crosshair</v>
      </c>
    </row>
    <row r="1141" spans="1:24" x14ac:dyDescent="0.25">
      <c r="A1141" t="s">
        <v>5251</v>
      </c>
      <c r="C1141" t="s">
        <v>1834</v>
      </c>
      <c r="D1141" t="s">
        <v>25</v>
      </c>
      <c r="E1141" t="s">
        <v>1835</v>
      </c>
      <c r="H1141" t="str">
        <f t="shared" si="17"/>
        <v>reload the material under the crosshair</v>
      </c>
    </row>
    <row r="1142" spans="1:24" x14ac:dyDescent="0.25">
      <c r="A1142" t="s">
        <v>5251</v>
      </c>
      <c r="C1142" t="s">
        <v>1836</v>
      </c>
      <c r="D1142" t="s">
        <v>25</v>
      </c>
      <c r="E1142" t="s">
        <v>1837</v>
      </c>
      <c r="H1142" t="str">
        <f t="shared" si="17"/>
        <v>Show memory usage for custom weapon materials.</v>
      </c>
    </row>
    <row r="1143" spans="1:24" x14ac:dyDescent="0.25">
      <c r="A1143" t="s">
        <v>5251</v>
      </c>
      <c r="C1143" t="s">
        <v>1838</v>
      </c>
      <c r="D1143">
        <v>0</v>
      </c>
      <c r="H1143">
        <f t="shared" si="17"/>
        <v>0</v>
      </c>
      <c r="L1143" t="s">
        <v>5</v>
      </c>
      <c r="X1143" t="s">
        <v>17</v>
      </c>
    </row>
    <row r="1144" spans="1:24" x14ac:dyDescent="0.25">
      <c r="A1144" t="s">
        <v>5251</v>
      </c>
      <c r="C1144" t="s">
        <v>1839</v>
      </c>
      <c r="D1144">
        <v>0</v>
      </c>
      <c r="E1144" t="s">
        <v>1840</v>
      </c>
      <c r="H1144" t="str">
        <f t="shared" si="17"/>
        <v>0 = off, 1 = show post-processing passes in quadrants of the screen, 2 = only apply post-processing to the centre of the screen</v>
      </c>
      <c r="L1144" t="s">
        <v>5</v>
      </c>
      <c r="X1144" t="s">
        <v>17</v>
      </c>
    </row>
    <row r="1145" spans="1:24" x14ac:dyDescent="0.25">
      <c r="A1145" t="s">
        <v>5251</v>
      </c>
      <c r="C1145" t="s">
        <v>1841</v>
      </c>
      <c r="D1145">
        <v>0</v>
      </c>
      <c r="H1145">
        <f t="shared" si="17"/>
        <v>0</v>
      </c>
      <c r="L1145" t="s">
        <v>5</v>
      </c>
    </row>
    <row r="1146" spans="1:24" x14ac:dyDescent="0.25">
      <c r="A1146" t="s">
        <v>5251</v>
      </c>
      <c r="C1146" t="s">
        <v>1842</v>
      </c>
      <c r="D1146">
        <v>0</v>
      </c>
      <c r="H1146">
        <f t="shared" si="17"/>
        <v>0</v>
      </c>
      <c r="L1146" t="s">
        <v>5</v>
      </c>
      <c r="X1146" t="s">
        <v>17</v>
      </c>
    </row>
    <row r="1147" spans="1:24" x14ac:dyDescent="0.25">
      <c r="A1147" t="s">
        <v>5251</v>
      </c>
      <c r="C1147" t="s">
        <v>1843</v>
      </c>
      <c r="D1147">
        <v>1</v>
      </c>
      <c r="H1147">
        <f t="shared" si="17"/>
        <v>0</v>
      </c>
      <c r="L1147" t="s">
        <v>5</v>
      </c>
    </row>
    <row r="1148" spans="1:24" x14ac:dyDescent="0.25">
      <c r="A1148" t="s">
        <v>5251</v>
      </c>
      <c r="C1148" t="s">
        <v>1844</v>
      </c>
      <c r="D1148">
        <v>0</v>
      </c>
      <c r="H1148">
        <f t="shared" si="17"/>
        <v>0</v>
      </c>
      <c r="L1148" t="s">
        <v>5</v>
      </c>
    </row>
    <row r="1149" spans="1:24" x14ac:dyDescent="0.25">
      <c r="A1149" t="s">
        <v>5251</v>
      </c>
      <c r="C1149" t="s">
        <v>1845</v>
      </c>
      <c r="D1149">
        <v>3072</v>
      </c>
      <c r="H1149">
        <f t="shared" si="17"/>
        <v>0</v>
      </c>
      <c r="L1149" t="s">
        <v>5</v>
      </c>
    </row>
    <row r="1150" spans="1:24" x14ac:dyDescent="0.25">
      <c r="A1150" t="s">
        <v>5251</v>
      </c>
      <c r="C1150" t="s">
        <v>1846</v>
      </c>
      <c r="D1150">
        <v>1</v>
      </c>
      <c r="H1150">
        <f t="shared" si="17"/>
        <v>0</v>
      </c>
      <c r="L1150" t="s">
        <v>5</v>
      </c>
      <c r="X1150" t="s">
        <v>17</v>
      </c>
    </row>
    <row r="1151" spans="1:24" x14ac:dyDescent="0.25">
      <c r="A1151" t="s">
        <v>5251</v>
      </c>
      <c r="C1151" t="s">
        <v>1847</v>
      </c>
      <c r="D1151">
        <v>1</v>
      </c>
      <c r="H1151">
        <f t="shared" si="17"/>
        <v>0</v>
      </c>
      <c r="L1151" t="s">
        <v>5</v>
      </c>
      <c r="X1151" t="s">
        <v>17</v>
      </c>
    </row>
    <row r="1152" spans="1:24" x14ac:dyDescent="0.25">
      <c r="A1152" t="s">
        <v>5251</v>
      </c>
      <c r="C1152" t="s">
        <v>1848</v>
      </c>
      <c r="D1152">
        <v>0</v>
      </c>
      <c r="H1152">
        <f t="shared" si="17"/>
        <v>0</v>
      </c>
      <c r="L1152" t="s">
        <v>5</v>
      </c>
    </row>
    <row r="1153" spans="1:24" x14ac:dyDescent="0.25">
      <c r="A1153" t="s">
        <v>5251</v>
      </c>
      <c r="C1153" t="s">
        <v>1849</v>
      </c>
      <c r="D1153">
        <v>0</v>
      </c>
      <c r="H1153">
        <f t="shared" si="17"/>
        <v>0</v>
      </c>
      <c r="L1153" t="s">
        <v>5</v>
      </c>
    </row>
    <row r="1154" spans="1:24" x14ac:dyDescent="0.25">
      <c r="A1154" t="s">
        <v>5251</v>
      </c>
      <c r="C1154" t="s">
        <v>1850</v>
      </c>
      <c r="D1154">
        <v>1</v>
      </c>
      <c r="H1154">
        <f t="shared" si="17"/>
        <v>0</v>
      </c>
      <c r="L1154" t="s">
        <v>5</v>
      </c>
      <c r="X1154" t="s">
        <v>17</v>
      </c>
    </row>
    <row r="1155" spans="1:24" x14ac:dyDescent="0.25">
      <c r="A1155" t="s">
        <v>5251</v>
      </c>
      <c r="C1155" t="s">
        <v>1851</v>
      </c>
      <c r="D1155">
        <v>1</v>
      </c>
      <c r="H1155">
        <f t="shared" ref="H1155:H1218" si="18">IF(F1155="",E1155, F1155 &amp; " - Original Helptext: " &amp;E1155)</f>
        <v>0</v>
      </c>
      <c r="L1155" t="s">
        <v>5</v>
      </c>
    </row>
    <row r="1156" spans="1:24" x14ac:dyDescent="0.25">
      <c r="A1156" t="s">
        <v>5251</v>
      </c>
      <c r="C1156" t="s">
        <v>1852</v>
      </c>
      <c r="D1156">
        <v>0</v>
      </c>
      <c r="H1156">
        <f t="shared" si="18"/>
        <v>0</v>
      </c>
      <c r="L1156" t="s">
        <v>5</v>
      </c>
    </row>
    <row r="1157" spans="1:24" x14ac:dyDescent="0.25">
      <c r="A1157" t="s">
        <v>5251</v>
      </c>
      <c r="C1157" t="s">
        <v>1853</v>
      </c>
      <c r="D1157">
        <v>0</v>
      </c>
      <c r="H1157">
        <f t="shared" si="18"/>
        <v>0</v>
      </c>
      <c r="L1157" t="s">
        <v>5</v>
      </c>
    </row>
    <row r="1158" spans="1:24" x14ac:dyDescent="0.25">
      <c r="A1158" t="s">
        <v>5251</v>
      </c>
      <c r="C1158" t="s">
        <v>1854</v>
      </c>
      <c r="D1158" t="s">
        <v>25</v>
      </c>
      <c r="E1158" t="s">
        <v>1855</v>
      </c>
      <c r="H1158" t="str">
        <f t="shared" si="18"/>
        <v>Bring up the material under the crosshair in the editor</v>
      </c>
    </row>
    <row r="1159" spans="1:24" x14ac:dyDescent="0.25">
      <c r="A1159" t="s">
        <v>5251</v>
      </c>
      <c r="C1159" t="s">
        <v>1856</v>
      </c>
      <c r="D1159">
        <v>1</v>
      </c>
      <c r="H1159">
        <f t="shared" si="18"/>
        <v>0</v>
      </c>
      <c r="I1159" t="s">
        <v>2</v>
      </c>
    </row>
    <row r="1160" spans="1:24" x14ac:dyDescent="0.25">
      <c r="A1160" t="s">
        <v>5251</v>
      </c>
      <c r="C1160" t="s">
        <v>1857</v>
      </c>
      <c r="D1160">
        <v>0</v>
      </c>
      <c r="H1160">
        <f t="shared" si="18"/>
        <v>0</v>
      </c>
      <c r="L1160" t="s">
        <v>5</v>
      </c>
      <c r="X1160" t="s">
        <v>17</v>
      </c>
    </row>
    <row r="1161" spans="1:24" x14ac:dyDescent="0.25">
      <c r="A1161" t="s">
        <v>5251</v>
      </c>
      <c r="C1161" t="s">
        <v>1858</v>
      </c>
      <c r="D1161">
        <v>0</v>
      </c>
      <c r="H1161">
        <f t="shared" si="18"/>
        <v>0</v>
      </c>
      <c r="L1161" t="s">
        <v>5</v>
      </c>
      <c r="X1161" t="s">
        <v>17</v>
      </c>
    </row>
    <row r="1162" spans="1:24" x14ac:dyDescent="0.25">
      <c r="A1162" t="s">
        <v>5251</v>
      </c>
      <c r="C1162" t="s">
        <v>1859</v>
      </c>
      <c r="D1162">
        <v>0</v>
      </c>
      <c r="H1162">
        <f t="shared" si="18"/>
        <v>0</v>
      </c>
      <c r="L1162" t="s">
        <v>5</v>
      </c>
    </row>
    <row r="1163" spans="1:24" x14ac:dyDescent="0.25">
      <c r="A1163" t="s">
        <v>5251</v>
      </c>
      <c r="C1163" t="s">
        <v>1860</v>
      </c>
      <c r="D1163">
        <v>0</v>
      </c>
      <c r="H1163">
        <f t="shared" si="18"/>
        <v>0</v>
      </c>
      <c r="L1163" t="s">
        <v>5</v>
      </c>
    </row>
    <row r="1164" spans="1:24" x14ac:dyDescent="0.25">
      <c r="A1164" t="s">
        <v>5251</v>
      </c>
      <c r="C1164" t="s">
        <v>1861</v>
      </c>
      <c r="D1164">
        <v>0</v>
      </c>
      <c r="H1164">
        <f t="shared" si="18"/>
        <v>0</v>
      </c>
      <c r="L1164" t="s">
        <v>5</v>
      </c>
    </row>
    <row r="1165" spans="1:24" x14ac:dyDescent="0.25">
      <c r="A1165" t="s">
        <v>5251</v>
      </c>
      <c r="C1165" t="s">
        <v>1862</v>
      </c>
      <c r="D1165">
        <v>0</v>
      </c>
      <c r="H1165">
        <f t="shared" si="18"/>
        <v>0</v>
      </c>
      <c r="L1165" t="s">
        <v>5</v>
      </c>
      <c r="X1165" t="s">
        <v>17</v>
      </c>
    </row>
    <row r="1166" spans="1:24" x14ac:dyDescent="0.25">
      <c r="A1166" t="s">
        <v>5251</v>
      </c>
      <c r="C1166" t="s">
        <v>1863</v>
      </c>
      <c r="D1166">
        <v>-1</v>
      </c>
      <c r="E1166" t="s">
        <v>1864</v>
      </c>
      <c r="H1166" t="str">
        <f t="shared" si="18"/>
        <v>Override. Old default was 3.0</v>
      </c>
      <c r="L1166" t="s">
        <v>5</v>
      </c>
      <c r="X1166" t="s">
        <v>17</v>
      </c>
    </row>
    <row r="1167" spans="1:24" x14ac:dyDescent="0.25">
      <c r="A1167" t="s">
        <v>5251</v>
      </c>
      <c r="C1167" t="s">
        <v>1865</v>
      </c>
      <c r="D1167">
        <v>-1</v>
      </c>
      <c r="E1167" t="s">
        <v>1866</v>
      </c>
      <c r="H1167" t="str">
        <f t="shared" si="18"/>
        <v>Override. Old value was 2.0</v>
      </c>
      <c r="L1167" t="s">
        <v>5</v>
      </c>
      <c r="X1167" t="s">
        <v>17</v>
      </c>
    </row>
    <row r="1168" spans="1:24" x14ac:dyDescent="0.25">
      <c r="A1168" t="s">
        <v>5251</v>
      </c>
      <c r="C1168" t="s">
        <v>1867</v>
      </c>
      <c r="D1168">
        <v>-1</v>
      </c>
      <c r="E1168" t="s">
        <v>1868</v>
      </c>
      <c r="H1168" t="str">
        <f t="shared" si="18"/>
        <v>Override. Old default was 60.</v>
      </c>
      <c r="L1168" t="s">
        <v>5</v>
      </c>
      <c r="X1168" t="s">
        <v>17</v>
      </c>
    </row>
    <row r="1169" spans="1:24" x14ac:dyDescent="0.25">
      <c r="A1169" t="s">
        <v>5251</v>
      </c>
      <c r="C1169" t="s">
        <v>1869</v>
      </c>
      <c r="D1169">
        <v>0</v>
      </c>
      <c r="H1169">
        <f t="shared" si="18"/>
        <v>0</v>
      </c>
      <c r="L1169" t="s">
        <v>5</v>
      </c>
    </row>
    <row r="1170" spans="1:24" x14ac:dyDescent="0.25">
      <c r="A1170" t="s">
        <v>5251</v>
      </c>
      <c r="C1170" t="s">
        <v>1870</v>
      </c>
      <c r="D1170">
        <v>0</v>
      </c>
      <c r="H1170">
        <f t="shared" si="18"/>
        <v>0</v>
      </c>
      <c r="L1170" t="s">
        <v>5</v>
      </c>
    </row>
    <row r="1171" spans="1:24" x14ac:dyDescent="0.25">
      <c r="A1171" t="s">
        <v>5251</v>
      </c>
      <c r="C1171" t="s">
        <v>1871</v>
      </c>
      <c r="D1171">
        <v>1</v>
      </c>
      <c r="H1171">
        <f t="shared" si="18"/>
        <v>0</v>
      </c>
      <c r="L1171" t="s">
        <v>5</v>
      </c>
    </row>
    <row r="1172" spans="1:24" x14ac:dyDescent="0.25">
      <c r="A1172" t="s">
        <v>5251</v>
      </c>
      <c r="C1172" t="s">
        <v>1872</v>
      </c>
      <c r="D1172">
        <v>0</v>
      </c>
      <c r="E1172" t="s">
        <v>1873</v>
      </c>
      <c r="H1172" t="str">
        <f t="shared" si="18"/>
        <v>Force frame syncing to lock a managed texture.</v>
      </c>
      <c r="L1172" t="s">
        <v>5</v>
      </c>
    </row>
    <row r="1173" spans="1:24" x14ac:dyDescent="0.25">
      <c r="A1173" t="s">
        <v>5251</v>
      </c>
      <c r="C1173" t="s">
        <v>1874</v>
      </c>
      <c r="D1173">
        <v>0</v>
      </c>
      <c r="H1173">
        <f t="shared" si="18"/>
        <v>0</v>
      </c>
      <c r="L1173" t="s">
        <v>5</v>
      </c>
    </row>
    <row r="1174" spans="1:24" x14ac:dyDescent="0.25">
      <c r="A1174" t="s">
        <v>5251</v>
      </c>
      <c r="C1174" t="s">
        <v>1875</v>
      </c>
      <c r="D1174" t="s">
        <v>25</v>
      </c>
      <c r="E1174" t="s">
        <v>1876</v>
      </c>
      <c r="H1174" t="str">
        <f t="shared" si="18"/>
        <v>Report if HDR is enabled for debugging</v>
      </c>
    </row>
    <row r="1175" spans="1:24" x14ac:dyDescent="0.25">
      <c r="A1175" t="s">
        <v>5251</v>
      </c>
      <c r="C1175" t="s">
        <v>1877</v>
      </c>
      <c r="D1175">
        <v>0</v>
      </c>
      <c r="H1175">
        <f t="shared" si="18"/>
        <v>0</v>
      </c>
      <c r="L1175" t="s">
        <v>5</v>
      </c>
      <c r="X1175" t="s">
        <v>17</v>
      </c>
    </row>
    <row r="1176" spans="1:24" x14ac:dyDescent="0.25">
      <c r="A1176" t="s">
        <v>5251</v>
      </c>
      <c r="C1176" t="s">
        <v>1878</v>
      </c>
      <c r="D1176">
        <v>0</v>
      </c>
      <c r="H1176">
        <f t="shared" si="18"/>
        <v>0</v>
      </c>
      <c r="L1176" t="s">
        <v>5</v>
      </c>
      <c r="X1176" t="s">
        <v>17</v>
      </c>
    </row>
    <row r="1177" spans="1:24" x14ac:dyDescent="0.25">
      <c r="A1177" t="s">
        <v>5251</v>
      </c>
      <c r="C1177" t="s">
        <v>1879</v>
      </c>
      <c r="D1177" t="s">
        <v>25</v>
      </c>
      <c r="E1177" t="s">
        <v>1880</v>
      </c>
      <c r="H1177" t="str">
        <f t="shared" si="18"/>
        <v>Shows material system info</v>
      </c>
    </row>
    <row r="1178" spans="1:24" x14ac:dyDescent="0.25">
      <c r="A1178" t="s">
        <v>5251</v>
      </c>
      <c r="C1178" t="s">
        <v>1881</v>
      </c>
      <c r="D1178">
        <v>0</v>
      </c>
      <c r="E1178" t="s">
        <v>1882</v>
      </c>
      <c r="H1178" t="str">
        <f t="shared" si="18"/>
        <v>Draw wireframe of: [0] nothing, [1] current leaf, [2] entire vis cluster, or [3] entire PVS (see mat_leafvis_draw_mask for what</v>
      </c>
      <c r="L1178" t="s">
        <v>5</v>
      </c>
    </row>
    <row r="1179" spans="1:24" x14ac:dyDescent="0.25">
      <c r="A1179" t="s">
        <v>5251</v>
      </c>
      <c r="C1179" t="s">
        <v>1883</v>
      </c>
      <c r="D1179">
        <v>1</v>
      </c>
      <c r="H1179">
        <f t="shared" si="18"/>
        <v>0</v>
      </c>
      <c r="L1179" t="s">
        <v>5</v>
      </c>
    </row>
    <row r="1180" spans="1:24" x14ac:dyDescent="0.25">
      <c r="A1180" t="s">
        <v>5251</v>
      </c>
      <c r="C1180" t="s">
        <v>1884</v>
      </c>
      <c r="D1180">
        <v>-1000</v>
      </c>
      <c r="H1180">
        <f t="shared" si="18"/>
        <v>0</v>
      </c>
      <c r="L1180" t="s">
        <v>5</v>
      </c>
    </row>
    <row r="1181" spans="1:24" x14ac:dyDescent="0.25">
      <c r="A1181" t="s">
        <v>5251</v>
      </c>
      <c r="C1181" t="s">
        <v>1885</v>
      </c>
      <c r="D1181">
        <v>-1</v>
      </c>
      <c r="H1181">
        <f t="shared" si="18"/>
        <v>0</v>
      </c>
      <c r="L1181" t="s">
        <v>5</v>
      </c>
    </row>
    <row r="1182" spans="1:24" x14ac:dyDescent="0.25">
      <c r="A1182" t="s">
        <v>5251</v>
      </c>
      <c r="C1182" t="s">
        <v>1886</v>
      </c>
      <c r="D1182">
        <v>0</v>
      </c>
      <c r="H1182">
        <f t="shared" si="18"/>
        <v>0</v>
      </c>
      <c r="L1182" t="s">
        <v>5</v>
      </c>
    </row>
    <row r="1183" spans="1:24" x14ac:dyDescent="0.25">
      <c r="A1183" t="s">
        <v>5251</v>
      </c>
      <c r="C1183" t="s">
        <v>1887</v>
      </c>
      <c r="D1183">
        <v>-1</v>
      </c>
      <c r="H1183">
        <f t="shared" si="18"/>
        <v>0</v>
      </c>
      <c r="L1183" t="s">
        <v>5</v>
      </c>
    </row>
    <row r="1184" spans="1:24" x14ac:dyDescent="0.25">
      <c r="A1184" t="s">
        <v>5251</v>
      </c>
      <c r="C1184" t="s">
        <v>1888</v>
      </c>
      <c r="D1184">
        <v>-1</v>
      </c>
      <c r="H1184">
        <f t="shared" si="18"/>
        <v>0</v>
      </c>
      <c r="L1184" t="s">
        <v>5</v>
      </c>
    </row>
    <row r="1185" spans="1:24" x14ac:dyDescent="0.25">
      <c r="A1185" t="s">
        <v>5251</v>
      </c>
      <c r="C1185" t="s">
        <v>1889</v>
      </c>
      <c r="D1185">
        <v>-1</v>
      </c>
      <c r="H1185">
        <f t="shared" si="18"/>
        <v>0</v>
      </c>
      <c r="L1185" t="s">
        <v>5</v>
      </c>
      <c r="X1185" t="s">
        <v>17</v>
      </c>
    </row>
    <row r="1186" spans="1:24" x14ac:dyDescent="0.25">
      <c r="A1186" t="s">
        <v>5251</v>
      </c>
      <c r="C1186" t="s">
        <v>1890</v>
      </c>
      <c r="D1186">
        <v>0</v>
      </c>
      <c r="H1186">
        <f t="shared" si="18"/>
        <v>0</v>
      </c>
      <c r="L1186" t="s">
        <v>5</v>
      </c>
    </row>
    <row r="1187" spans="1:24" x14ac:dyDescent="0.25">
      <c r="A1187" t="s">
        <v>5251</v>
      </c>
      <c r="C1187" t="s">
        <v>1891</v>
      </c>
      <c r="D1187">
        <v>0</v>
      </c>
      <c r="H1187">
        <f t="shared" si="18"/>
        <v>0</v>
      </c>
      <c r="L1187" t="s">
        <v>5</v>
      </c>
    </row>
    <row r="1188" spans="1:24" x14ac:dyDescent="0.25">
      <c r="A1188" t="s">
        <v>5251</v>
      </c>
      <c r="C1188" t="s">
        <v>1892</v>
      </c>
      <c r="D1188">
        <v>2</v>
      </c>
      <c r="E1188" t="s">
        <v>1893</v>
      </c>
      <c r="H1188" t="str">
        <f t="shared" si="18"/>
        <v>monitor gamma (typically 2.2 for CRT and 1.7 for LCD)</v>
      </c>
      <c r="I1188" t="s">
        <v>2</v>
      </c>
    </row>
    <row r="1189" spans="1:24" x14ac:dyDescent="0.25">
      <c r="A1189" t="s">
        <v>5251</v>
      </c>
      <c r="C1189" t="s">
        <v>1894</v>
      </c>
      <c r="D1189">
        <v>0</v>
      </c>
      <c r="H1189">
        <f t="shared" si="18"/>
        <v>0</v>
      </c>
      <c r="I1189" t="s">
        <v>2</v>
      </c>
    </row>
    <row r="1190" spans="1:24" x14ac:dyDescent="0.25">
      <c r="A1190" t="s">
        <v>5251</v>
      </c>
      <c r="C1190" t="s">
        <v>1895</v>
      </c>
      <c r="D1190">
        <v>0</v>
      </c>
      <c r="H1190">
        <f t="shared" si="18"/>
        <v>0</v>
      </c>
      <c r="L1190" t="s">
        <v>5</v>
      </c>
    </row>
    <row r="1191" spans="1:24" x14ac:dyDescent="0.25">
      <c r="A1191" t="s">
        <v>5251</v>
      </c>
      <c r="C1191" t="s">
        <v>1896</v>
      </c>
      <c r="D1191">
        <v>0</v>
      </c>
      <c r="H1191">
        <f t="shared" si="18"/>
        <v>0</v>
      </c>
      <c r="L1191" t="s">
        <v>5</v>
      </c>
    </row>
    <row r="1192" spans="1:24" x14ac:dyDescent="0.25">
      <c r="A1192" t="s">
        <v>5251</v>
      </c>
      <c r="C1192" t="s">
        <v>1897</v>
      </c>
      <c r="D1192">
        <v>0</v>
      </c>
      <c r="H1192">
        <f t="shared" si="18"/>
        <v>0</v>
      </c>
      <c r="L1192" t="s">
        <v>5</v>
      </c>
    </row>
    <row r="1193" spans="1:24" x14ac:dyDescent="0.25">
      <c r="A1193" t="s">
        <v>5251</v>
      </c>
      <c r="C1193" t="s">
        <v>1898</v>
      </c>
      <c r="D1193">
        <v>0</v>
      </c>
      <c r="H1193">
        <f t="shared" si="18"/>
        <v>0</v>
      </c>
      <c r="L1193" t="s">
        <v>5</v>
      </c>
    </row>
    <row r="1194" spans="1:24" x14ac:dyDescent="0.25">
      <c r="A1194" t="s">
        <v>5251</v>
      </c>
      <c r="C1194" t="s">
        <v>1899</v>
      </c>
      <c r="D1194">
        <v>1</v>
      </c>
      <c r="H1194">
        <f t="shared" si="18"/>
        <v>0</v>
      </c>
      <c r="L1194" t="s">
        <v>5</v>
      </c>
      <c r="X1194" t="s">
        <v>17</v>
      </c>
    </row>
    <row r="1195" spans="1:24" x14ac:dyDescent="0.25">
      <c r="A1195" t="s">
        <v>5251</v>
      </c>
      <c r="C1195" t="s">
        <v>1900</v>
      </c>
      <c r="D1195">
        <v>0</v>
      </c>
      <c r="E1195" t="s">
        <v>1901</v>
      </c>
      <c r="H1195" t="str">
        <f t="shared" si="18"/>
        <v>Power Savings Mode</v>
      </c>
      <c r="I1195" t="s">
        <v>2</v>
      </c>
    </row>
    <row r="1196" spans="1:24" x14ac:dyDescent="0.25">
      <c r="A1196" t="s">
        <v>5251</v>
      </c>
      <c r="C1196" t="s">
        <v>1902</v>
      </c>
      <c r="D1196">
        <v>0</v>
      </c>
      <c r="H1196">
        <f t="shared" si="18"/>
        <v>0</v>
      </c>
      <c r="L1196" t="s">
        <v>5</v>
      </c>
      <c r="X1196" t="s">
        <v>17</v>
      </c>
    </row>
    <row r="1197" spans="1:24" x14ac:dyDescent="0.25">
      <c r="A1197" t="s">
        <v>5251</v>
      </c>
      <c r="C1197" t="s">
        <v>1903</v>
      </c>
      <c r="D1197">
        <v>0</v>
      </c>
      <c r="H1197">
        <f t="shared" si="18"/>
        <v>0</v>
      </c>
      <c r="L1197" t="s">
        <v>5</v>
      </c>
    </row>
    <row r="1198" spans="1:24" x14ac:dyDescent="0.25">
      <c r="A1198" t="s">
        <v>5251</v>
      </c>
      <c r="C1198" t="s">
        <v>1904</v>
      </c>
      <c r="D1198">
        <v>-1</v>
      </c>
      <c r="E1198" t="s">
        <v>1905</v>
      </c>
      <c r="H1198" t="str">
        <f t="shared" si="18"/>
        <v>The queue/thread mode the material system should use: -1=default, 0=synchronous single thread, 1=queued single thread, 2=queued</v>
      </c>
    </row>
    <row r="1199" spans="1:24" x14ac:dyDescent="0.25">
      <c r="A1199" t="s">
        <v>5251</v>
      </c>
      <c r="C1199" t="s">
        <v>1906</v>
      </c>
      <c r="D1199">
        <v>1</v>
      </c>
      <c r="H1199">
        <f t="shared" si="18"/>
        <v>0</v>
      </c>
    </row>
    <row r="1200" spans="1:24" x14ac:dyDescent="0.25">
      <c r="A1200" t="s">
        <v>5251</v>
      </c>
      <c r="C1200" t="s">
        <v>1907</v>
      </c>
      <c r="D1200">
        <v>0</v>
      </c>
      <c r="E1200" t="s">
        <v>1908</v>
      </c>
      <c r="H1200" t="str">
        <f t="shared" si="18"/>
        <v>Report thread stalls.  Positive number will filter by stalls &gt;= time in ms.  -1 reports all locks.</v>
      </c>
      <c r="I1200" t="s">
        <v>2</v>
      </c>
    </row>
    <row r="1201" spans="1:24" x14ac:dyDescent="0.25">
      <c r="A1201" t="s">
        <v>5251</v>
      </c>
      <c r="C1201" t="s">
        <v>1909</v>
      </c>
      <c r="D1201" t="s">
        <v>25</v>
      </c>
      <c r="E1201" t="s">
        <v>1910</v>
      </c>
      <c r="H1201" t="str">
        <f t="shared" si="18"/>
        <v>Reloads all custom materials</v>
      </c>
    </row>
    <row r="1202" spans="1:24" x14ac:dyDescent="0.25">
      <c r="A1202" t="s">
        <v>5251</v>
      </c>
      <c r="C1202" t="s">
        <v>1911</v>
      </c>
      <c r="D1202" t="s">
        <v>25</v>
      </c>
      <c r="E1202" t="s">
        <v>1912</v>
      </c>
      <c r="H1202" t="str">
        <f t="shared" si="18"/>
        <v>Reloads all materials</v>
      </c>
    </row>
    <row r="1203" spans="1:24" x14ac:dyDescent="0.25">
      <c r="A1203" t="s">
        <v>5251</v>
      </c>
      <c r="C1203" t="s">
        <v>1913</v>
      </c>
      <c r="D1203" t="s">
        <v>25</v>
      </c>
      <c r="E1203" t="s">
        <v>1914</v>
      </c>
      <c r="H1203" t="str">
        <f t="shared" si="18"/>
        <v>Reloads a single material</v>
      </c>
    </row>
    <row r="1204" spans="1:24" x14ac:dyDescent="0.25">
      <c r="A1204" t="s">
        <v>5251</v>
      </c>
      <c r="C1204" t="s">
        <v>1915</v>
      </c>
      <c r="D1204" t="s">
        <v>25</v>
      </c>
      <c r="E1204" t="s">
        <v>1916</v>
      </c>
      <c r="H1204" t="str">
        <f t="shared" si="18"/>
        <v>Reloads all textures</v>
      </c>
    </row>
    <row r="1205" spans="1:24" x14ac:dyDescent="0.25">
      <c r="A1205" t="s">
        <v>5251</v>
      </c>
      <c r="C1205" t="s">
        <v>1917</v>
      </c>
      <c r="D1205">
        <v>127</v>
      </c>
      <c r="H1205">
        <f t="shared" si="18"/>
        <v>0</v>
      </c>
      <c r="L1205" t="s">
        <v>5</v>
      </c>
    </row>
    <row r="1206" spans="1:24" x14ac:dyDescent="0.25">
      <c r="A1206" t="s">
        <v>5251</v>
      </c>
      <c r="C1206" t="s">
        <v>1918</v>
      </c>
      <c r="D1206">
        <v>0</v>
      </c>
      <c r="E1206" t="s">
        <v>1919</v>
      </c>
      <c r="H1206" t="str">
        <f t="shared" si="18"/>
        <v>Set to N to count how many faces each model draws each frame and spew the top N offenders from the last 150 frames (use 'mat_re</v>
      </c>
      <c r="L1206" t="s">
        <v>5</v>
      </c>
    </row>
    <row r="1207" spans="1:24" x14ac:dyDescent="0.25">
      <c r="A1207" t="s">
        <v>5251</v>
      </c>
      <c r="C1207" t="s">
        <v>1920</v>
      </c>
      <c r="D1207" t="s">
        <v>25</v>
      </c>
      <c r="E1207" t="s">
        <v>1921</v>
      </c>
      <c r="H1207" t="str">
        <f t="shared" si="18"/>
        <v xml:space="preserve">'mat_rendered_faces_spew &lt;n&gt;' Spew the number of faces rendered for the top N models used this frame (mat_rendered_faces_count </v>
      </c>
    </row>
    <row r="1208" spans="1:24" x14ac:dyDescent="0.25">
      <c r="A1208" t="s">
        <v>5251</v>
      </c>
      <c r="C1208" t="s">
        <v>1922</v>
      </c>
      <c r="D1208" t="s">
        <v>25</v>
      </c>
      <c r="E1208" t="s">
        <v>1923</v>
      </c>
      <c r="H1208" t="str">
        <f t="shared" si="18"/>
        <v>Reports the amount of size in bytes taken up by hardware morph textures.</v>
      </c>
    </row>
    <row r="1209" spans="1:24" x14ac:dyDescent="0.25">
      <c r="A1209" t="s">
        <v>5251</v>
      </c>
      <c r="C1209" t="s">
        <v>1924</v>
      </c>
      <c r="D1209">
        <v>1</v>
      </c>
      <c r="E1209" t="s">
        <v>1925</v>
      </c>
      <c r="H1209" t="str">
        <f t="shared" si="18"/>
        <v xml:space="preserve">Enable depth resolve to a texture. 0=disable, 1=enable via resolve tricks if supported in hw, otherwise disable, 2=force extra </v>
      </c>
      <c r="L1209" t="s">
        <v>5</v>
      </c>
    </row>
    <row r="1210" spans="1:24" x14ac:dyDescent="0.25">
      <c r="A1210" t="s">
        <v>5251</v>
      </c>
      <c r="C1210" t="s">
        <v>1926</v>
      </c>
      <c r="D1210">
        <v>0</v>
      </c>
      <c r="H1210">
        <f t="shared" si="18"/>
        <v>0</v>
      </c>
      <c r="L1210" t="s">
        <v>5</v>
      </c>
    </row>
    <row r="1211" spans="1:24" x14ac:dyDescent="0.25">
      <c r="A1211" t="s">
        <v>5251</v>
      </c>
      <c r="C1211" t="s">
        <v>1927</v>
      </c>
      <c r="D1211" t="s">
        <v>25</v>
      </c>
      <c r="E1211" t="s">
        <v>1928</v>
      </c>
      <c r="H1211" t="str">
        <f t="shared" si="18"/>
        <v>saves current video configuration to the registry</v>
      </c>
    </row>
    <row r="1212" spans="1:24" x14ac:dyDescent="0.25">
      <c r="A1212" t="s">
        <v>5251</v>
      </c>
      <c r="C1212" t="s">
        <v>1929</v>
      </c>
      <c r="D1212" t="s">
        <v>25</v>
      </c>
      <c r="E1212" t="s">
        <v>1930</v>
      </c>
      <c r="H1212" t="str">
        <f t="shared" si="18"/>
        <v>sets the width, height, windowed state of the material system</v>
      </c>
    </row>
    <row r="1213" spans="1:24" x14ac:dyDescent="0.25">
      <c r="A1213" t="s">
        <v>5251</v>
      </c>
      <c r="C1213" t="s">
        <v>1931</v>
      </c>
      <c r="D1213" t="s">
        <v>25</v>
      </c>
      <c r="E1213" t="s">
        <v>1932</v>
      </c>
      <c r="H1213" t="str">
        <f t="shared" si="18"/>
        <v>display count of all shaders and reset that count</v>
      </c>
    </row>
    <row r="1214" spans="1:24" x14ac:dyDescent="0.25">
      <c r="A1214" t="s">
        <v>5251</v>
      </c>
      <c r="C1214" t="s">
        <v>1933</v>
      </c>
      <c r="D1214">
        <v>0</v>
      </c>
      <c r="H1214">
        <f t="shared" si="18"/>
        <v>0</v>
      </c>
      <c r="L1214" t="s">
        <v>5</v>
      </c>
      <c r="X1214" t="s">
        <v>17</v>
      </c>
    </row>
    <row r="1215" spans="1:24" x14ac:dyDescent="0.25">
      <c r="A1215" t="s">
        <v>5251</v>
      </c>
      <c r="C1215" t="s">
        <v>1934</v>
      </c>
      <c r="D1215">
        <v>0</v>
      </c>
      <c r="E1215" t="s">
        <v>1935</v>
      </c>
      <c r="H1215" t="str">
        <f t="shared" si="18"/>
        <v>Display the texture memory usage on the HUD.</v>
      </c>
      <c r="L1215" t="s">
        <v>5</v>
      </c>
      <c r="R1215" t="s">
        <v>11</v>
      </c>
    </row>
    <row r="1216" spans="1:24" x14ac:dyDescent="0.25">
      <c r="A1216" t="s">
        <v>5251</v>
      </c>
      <c r="C1216" t="s">
        <v>1936</v>
      </c>
      <c r="D1216">
        <v>0</v>
      </c>
      <c r="H1216">
        <f t="shared" si="18"/>
        <v>0</v>
      </c>
      <c r="L1216" t="s">
        <v>5</v>
      </c>
      <c r="X1216" t="s">
        <v>17</v>
      </c>
    </row>
    <row r="1217" spans="1:24" x14ac:dyDescent="0.25">
      <c r="A1217" t="s">
        <v>5251</v>
      </c>
      <c r="C1217" t="s">
        <v>1937</v>
      </c>
      <c r="D1217">
        <v>0</v>
      </c>
      <c r="H1217">
        <f t="shared" si="18"/>
        <v>0</v>
      </c>
      <c r="L1217" t="s">
        <v>5</v>
      </c>
      <c r="X1217" t="s">
        <v>17</v>
      </c>
    </row>
    <row r="1218" spans="1:24" x14ac:dyDescent="0.25">
      <c r="A1218" t="s">
        <v>5251</v>
      </c>
      <c r="C1218" t="s">
        <v>1938</v>
      </c>
      <c r="D1218">
        <v>0</v>
      </c>
      <c r="H1218">
        <f t="shared" si="18"/>
        <v>0</v>
      </c>
      <c r="L1218" t="s">
        <v>5</v>
      </c>
    </row>
    <row r="1219" spans="1:24" x14ac:dyDescent="0.25">
      <c r="A1219" t="s">
        <v>5251</v>
      </c>
      <c r="C1219" t="s">
        <v>1939</v>
      </c>
      <c r="D1219" t="s">
        <v>25</v>
      </c>
      <c r="E1219" t="s">
        <v>1940</v>
      </c>
      <c r="H1219" t="str">
        <f t="shared" ref="H1219:H1282" si="19">IF(F1219="",E1219, F1219 &amp; " - Original Helptext: " &amp;E1219)</f>
        <v>Show materials.</v>
      </c>
    </row>
    <row r="1220" spans="1:24" x14ac:dyDescent="0.25">
      <c r="A1220" t="s">
        <v>5251</v>
      </c>
      <c r="C1220" t="s">
        <v>1941</v>
      </c>
      <c r="D1220" t="s">
        <v>25</v>
      </c>
      <c r="E1220" t="s">
        <v>1942</v>
      </c>
      <c r="H1220" t="str">
        <f t="shared" si="19"/>
        <v>Show materials (verbose version).</v>
      </c>
    </row>
    <row r="1221" spans="1:24" x14ac:dyDescent="0.25">
      <c r="A1221" t="s">
        <v>5251</v>
      </c>
      <c r="C1221" t="s">
        <v>1943</v>
      </c>
      <c r="D1221">
        <v>0</v>
      </c>
      <c r="E1221" t="s">
        <v>1944</v>
      </c>
      <c r="H1221" t="str">
        <f t="shared" si="19"/>
        <v>color-code miplevels 2: normalmaps, 1: everything else</v>
      </c>
      <c r="L1221" t="s">
        <v>5</v>
      </c>
    </row>
    <row r="1222" spans="1:24" x14ac:dyDescent="0.25">
      <c r="A1222" t="s">
        <v>5251</v>
      </c>
      <c r="C1222" t="s">
        <v>1945</v>
      </c>
      <c r="D1222" t="s">
        <v>25</v>
      </c>
      <c r="E1222" t="s">
        <v>1946</v>
      </c>
      <c r="H1222" t="str">
        <f t="shared" si="19"/>
        <v>Show used textures.</v>
      </c>
    </row>
    <row r="1223" spans="1:24" x14ac:dyDescent="0.25">
      <c r="A1223" t="s">
        <v>5251</v>
      </c>
      <c r="C1223" t="s">
        <v>1947</v>
      </c>
      <c r="D1223">
        <v>0</v>
      </c>
      <c r="H1223">
        <f t="shared" si="19"/>
        <v>0</v>
      </c>
      <c r="L1223" t="s">
        <v>5</v>
      </c>
      <c r="X1223" t="s">
        <v>17</v>
      </c>
    </row>
    <row r="1224" spans="1:24" x14ac:dyDescent="0.25">
      <c r="A1224" t="s">
        <v>5251</v>
      </c>
      <c r="C1224" t="s">
        <v>1948</v>
      </c>
      <c r="D1224">
        <v>0</v>
      </c>
      <c r="H1224">
        <f t="shared" si="19"/>
        <v>0</v>
      </c>
      <c r="L1224" t="s">
        <v>5</v>
      </c>
    </row>
    <row r="1225" spans="1:24" x14ac:dyDescent="0.25">
      <c r="A1225" t="s">
        <v>5251</v>
      </c>
      <c r="C1225" t="s">
        <v>1949</v>
      </c>
      <c r="D1225">
        <v>0</v>
      </c>
      <c r="H1225">
        <f t="shared" si="19"/>
        <v>0</v>
      </c>
      <c r="I1225" t="s">
        <v>2</v>
      </c>
    </row>
    <row r="1226" spans="1:24" x14ac:dyDescent="0.25">
      <c r="A1226" t="s">
        <v>5251</v>
      </c>
      <c r="C1226" t="s">
        <v>1950</v>
      </c>
      <c r="D1226" t="s">
        <v>25</v>
      </c>
      <c r="E1226" t="s">
        <v>1951</v>
      </c>
      <c r="H1226" t="str">
        <f t="shared" si="19"/>
        <v>Print all vertex and pixel shaders currently loaded to the console</v>
      </c>
    </row>
    <row r="1227" spans="1:24" x14ac:dyDescent="0.25">
      <c r="A1227" t="s">
        <v>5251</v>
      </c>
      <c r="C1227" t="s">
        <v>1952</v>
      </c>
      <c r="D1227">
        <v>0</v>
      </c>
      <c r="H1227">
        <f t="shared" si="19"/>
        <v>0</v>
      </c>
      <c r="L1227" t="s">
        <v>5</v>
      </c>
      <c r="X1227" t="s">
        <v>17</v>
      </c>
    </row>
    <row r="1228" spans="1:24" x14ac:dyDescent="0.25">
      <c r="A1228" t="s">
        <v>5251</v>
      </c>
      <c r="C1228" t="s">
        <v>1953</v>
      </c>
      <c r="D1228">
        <v>0</v>
      </c>
      <c r="H1228">
        <f t="shared" si="19"/>
        <v>0</v>
      </c>
      <c r="L1228" t="s">
        <v>5</v>
      </c>
    </row>
    <row r="1229" spans="1:24" x14ac:dyDescent="0.25">
      <c r="A1229" t="s">
        <v>5251</v>
      </c>
      <c r="C1229" t="s">
        <v>1954</v>
      </c>
      <c r="D1229">
        <v>0</v>
      </c>
      <c r="H1229">
        <f t="shared" si="19"/>
        <v>0</v>
      </c>
      <c r="L1229" t="s">
        <v>5</v>
      </c>
    </row>
    <row r="1230" spans="1:24" x14ac:dyDescent="0.25">
      <c r="A1230" t="s">
        <v>5251</v>
      </c>
      <c r="C1230" t="s">
        <v>1955</v>
      </c>
      <c r="D1230">
        <v>0</v>
      </c>
      <c r="H1230">
        <f t="shared" si="19"/>
        <v>0</v>
      </c>
      <c r="L1230" t="s">
        <v>5</v>
      </c>
    </row>
    <row r="1231" spans="1:24" x14ac:dyDescent="0.25">
      <c r="A1231" t="s">
        <v>5251</v>
      </c>
      <c r="C1231" t="s">
        <v>1956</v>
      </c>
      <c r="D1231">
        <v>1</v>
      </c>
      <c r="H1231">
        <f t="shared" si="19"/>
        <v>0</v>
      </c>
      <c r="L1231" t="s">
        <v>5</v>
      </c>
    </row>
    <row r="1232" spans="1:24" x14ac:dyDescent="0.25">
      <c r="A1232" t="s">
        <v>5251</v>
      </c>
      <c r="C1232" t="s">
        <v>1957</v>
      </c>
      <c r="D1232">
        <v>1</v>
      </c>
      <c r="H1232">
        <f t="shared" si="19"/>
        <v>0</v>
      </c>
      <c r="L1232" t="s">
        <v>5</v>
      </c>
    </row>
    <row r="1233" spans="1:24" x14ac:dyDescent="0.25">
      <c r="A1233" t="s">
        <v>5251</v>
      </c>
      <c r="C1233" t="s">
        <v>1958</v>
      </c>
      <c r="D1233">
        <v>6</v>
      </c>
      <c r="H1233">
        <f t="shared" si="19"/>
        <v>0</v>
      </c>
      <c r="L1233" t="s">
        <v>5</v>
      </c>
    </row>
    <row r="1234" spans="1:24" x14ac:dyDescent="0.25">
      <c r="A1234" t="s">
        <v>5251</v>
      </c>
      <c r="B1234" t="s">
        <v>25</v>
      </c>
      <c r="C1234" t="s">
        <v>1959</v>
      </c>
      <c r="D1234" t="s">
        <v>25</v>
      </c>
      <c r="H1234">
        <f t="shared" si="19"/>
        <v>0</v>
      </c>
    </row>
    <row r="1235" spans="1:24" x14ac:dyDescent="0.25">
      <c r="A1235" t="s">
        <v>5251</v>
      </c>
      <c r="C1235" t="s">
        <v>1960</v>
      </c>
      <c r="D1235">
        <v>0</v>
      </c>
      <c r="E1235" t="s">
        <v>1961</v>
      </c>
      <c r="H1235" t="str">
        <f t="shared" si="19"/>
        <v>For debugging, show a list of used textures per frame</v>
      </c>
      <c r="L1235" t="s">
        <v>5</v>
      </c>
    </row>
    <row r="1236" spans="1:24" x14ac:dyDescent="0.25">
      <c r="A1236" t="s">
        <v>5251</v>
      </c>
      <c r="B1236" t="s">
        <v>25</v>
      </c>
      <c r="C1236" t="s">
        <v>1962</v>
      </c>
      <c r="D1236" t="s">
        <v>25</v>
      </c>
      <c r="H1236">
        <f t="shared" si="19"/>
        <v>0</v>
      </c>
    </row>
    <row r="1237" spans="1:24" x14ac:dyDescent="0.25">
      <c r="A1237" t="s">
        <v>5251</v>
      </c>
      <c r="C1237" t="s">
        <v>1963</v>
      </c>
      <c r="D1237">
        <v>0</v>
      </c>
      <c r="E1237" t="s">
        <v>1964</v>
      </c>
      <c r="H1237" t="str">
        <f t="shared" si="19"/>
        <v>The content path to the materialsrc directory. If left unset, it'll assume your content directory is next to the currently runn</v>
      </c>
      <c r="I1237" t="s">
        <v>2</v>
      </c>
    </row>
    <row r="1238" spans="1:24" x14ac:dyDescent="0.25">
      <c r="A1238" t="s">
        <v>5251</v>
      </c>
      <c r="C1238" t="s">
        <v>1965</v>
      </c>
      <c r="D1238" t="s">
        <v>25</v>
      </c>
      <c r="E1238" t="s">
        <v>1966</v>
      </c>
      <c r="H1238" t="str">
        <f t="shared" si="19"/>
        <v>'load' - loads the exclude list file, 'reset' - resets all loaded exclude information, 'save' - saves exclude list file</v>
      </c>
    </row>
    <row r="1239" spans="1:24" x14ac:dyDescent="0.25">
      <c r="A1239" t="s">
        <v>5251</v>
      </c>
      <c r="C1239" t="s">
        <v>1967</v>
      </c>
      <c r="D1239" t="s">
        <v>25</v>
      </c>
      <c r="E1239" t="s">
        <v>1968</v>
      </c>
      <c r="H1239" t="str">
        <f t="shared" si="19"/>
        <v>Adjust LOD of the last viewed texture +1 to inc resolution, -1 to dec resolution</v>
      </c>
    </row>
    <row r="1240" spans="1:24" x14ac:dyDescent="0.25">
      <c r="A1240" t="s">
        <v>5251</v>
      </c>
      <c r="C1240" t="s">
        <v>1969</v>
      </c>
      <c r="D1240" t="s">
        <v>25</v>
      </c>
      <c r="E1240" t="s">
        <v>1970</v>
      </c>
      <c r="H1240" t="str">
        <f t="shared" si="19"/>
        <v>'reset' - resets all run-time changes to LOD overrides, 'save' - saves all changes to material content files</v>
      </c>
    </row>
    <row r="1241" spans="1:24" x14ac:dyDescent="0.25">
      <c r="A1241" t="s">
        <v>5251</v>
      </c>
      <c r="C1241" t="s">
        <v>1971</v>
      </c>
      <c r="D1241">
        <v>1</v>
      </c>
      <c r="E1241" t="s">
        <v>1972</v>
      </c>
      <c r="H1241" t="str">
        <f t="shared" si="19"/>
        <v>0 = Original Algorithm 1 = New Algorithm</v>
      </c>
      <c r="L1241" t="s">
        <v>5</v>
      </c>
      <c r="X1241" t="s">
        <v>17</v>
      </c>
    </row>
    <row r="1242" spans="1:24" x14ac:dyDescent="0.25">
      <c r="A1242" t="s">
        <v>5251</v>
      </c>
      <c r="C1242" t="s">
        <v>1973</v>
      </c>
      <c r="D1242" t="s">
        <v>25</v>
      </c>
      <c r="E1242" t="s">
        <v>1974</v>
      </c>
      <c r="H1242" t="str">
        <f t="shared" si="19"/>
        <v>updates the video config convars</v>
      </c>
    </row>
    <row r="1243" spans="1:24" x14ac:dyDescent="0.25">
      <c r="A1243" t="s">
        <v>5251</v>
      </c>
      <c r="C1243" t="s">
        <v>1975</v>
      </c>
      <c r="D1243">
        <v>1</v>
      </c>
      <c r="E1243" t="s">
        <v>1976</v>
      </c>
      <c r="H1243" t="str">
        <f t="shared" si="19"/>
        <v>Scale down the main viewport (to reduce GPU impact on CPU profiling)</v>
      </c>
      <c r="L1243" t="s">
        <v>5</v>
      </c>
      <c r="X1243" t="s">
        <v>17</v>
      </c>
    </row>
    <row r="1244" spans="1:24" x14ac:dyDescent="0.25">
      <c r="A1244" t="s">
        <v>5251</v>
      </c>
      <c r="C1244" t="s">
        <v>1977</v>
      </c>
      <c r="D1244">
        <v>1</v>
      </c>
      <c r="E1244" t="s">
        <v>1978</v>
      </c>
      <c r="H1244" t="str">
        <f t="shared" si="19"/>
        <v>Scale the viewport back up</v>
      </c>
      <c r="L1244" t="s">
        <v>5</v>
      </c>
      <c r="X1244" t="s">
        <v>17</v>
      </c>
    </row>
    <row r="1245" spans="1:24" x14ac:dyDescent="0.25">
      <c r="A1245" t="s">
        <v>5251</v>
      </c>
      <c r="C1245" t="s">
        <v>1979</v>
      </c>
      <c r="D1245">
        <v>0</v>
      </c>
      <c r="H1245">
        <f t="shared" si="19"/>
        <v>0</v>
      </c>
      <c r="L1245" t="s">
        <v>5</v>
      </c>
    </row>
    <row r="1246" spans="1:24" x14ac:dyDescent="0.25">
      <c r="A1246" t="s">
        <v>5251</v>
      </c>
      <c r="C1246" t="s">
        <v>1980</v>
      </c>
      <c r="D1246">
        <v>0</v>
      </c>
      <c r="H1246">
        <f t="shared" si="19"/>
        <v>0</v>
      </c>
      <c r="L1246" t="s">
        <v>5</v>
      </c>
      <c r="X1246" t="s">
        <v>17</v>
      </c>
    </row>
    <row r="1247" spans="1:24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  <c r="H1247" t="str">
        <f t="shared" si="19"/>
        <v>Change the maximum number of players allowed on this server.</v>
      </c>
    </row>
    <row r="1248" spans="1:24" x14ac:dyDescent="0.25">
      <c r="A1248" t="s">
        <v>5251</v>
      </c>
      <c r="C1248" t="s">
        <v>1983</v>
      </c>
      <c r="D1248">
        <v>0</v>
      </c>
      <c r="E1248" t="s">
        <v>1984</v>
      </c>
      <c r="H1248" t="str">
        <f t="shared" si="19"/>
        <v>Percentage of half the screen width or height.</v>
      </c>
      <c r="I1248" t="s">
        <v>2</v>
      </c>
      <c r="X1248" t="s">
        <v>17</v>
      </c>
    </row>
    <row r="1249" spans="1:24" x14ac:dyDescent="0.25">
      <c r="A1249" t="s">
        <v>5251</v>
      </c>
      <c r="C1249" t="s">
        <v>1985</v>
      </c>
      <c r="D1249">
        <v>0</v>
      </c>
      <c r="E1249" t="s">
        <v>1986</v>
      </c>
      <c r="H1249" t="str">
        <f t="shared" si="19"/>
        <v>0 to 0.9. 0 being just around the center of the screen and 1 being the edges of the screen.</v>
      </c>
      <c r="I1249" t="s">
        <v>2</v>
      </c>
      <c r="X1249" t="s">
        <v>17</v>
      </c>
    </row>
    <row r="1250" spans="1:24" x14ac:dyDescent="0.25">
      <c r="A1250" t="s">
        <v>5251</v>
      </c>
      <c r="C1250" t="s">
        <v>1987</v>
      </c>
      <c r="D1250">
        <v>100</v>
      </c>
      <c r="E1250" t="s">
        <v>1988</v>
      </c>
      <c r="H1250" t="str">
        <f t="shared" si="19"/>
        <v>(degrees/sec)</v>
      </c>
      <c r="I1250" t="s">
        <v>2</v>
      </c>
      <c r="X1250" t="s">
        <v>17</v>
      </c>
    </row>
    <row r="1251" spans="1:24" x14ac:dyDescent="0.25">
      <c r="A1251" t="s">
        <v>5251</v>
      </c>
      <c r="C1251" t="s">
        <v>1989</v>
      </c>
      <c r="D1251">
        <v>230</v>
      </c>
      <c r="E1251" t="s">
        <v>1988</v>
      </c>
      <c r="H1251" t="str">
        <f t="shared" si="19"/>
        <v>(degrees/sec)</v>
      </c>
      <c r="I1251" t="s">
        <v>2</v>
      </c>
      <c r="X1251" t="s">
        <v>17</v>
      </c>
    </row>
    <row r="1252" spans="1:24" x14ac:dyDescent="0.25">
      <c r="A1252" t="s">
        <v>5251</v>
      </c>
      <c r="C1252" t="s">
        <v>1990</v>
      </c>
      <c r="D1252" t="s">
        <v>25</v>
      </c>
      <c r="E1252" t="s">
        <v>1991</v>
      </c>
      <c r="H1252" t="str">
        <f t="shared" si="19"/>
        <v>Dump the state of the MDLCache Dictionary.</v>
      </c>
    </row>
    <row r="1253" spans="1:24" x14ac:dyDescent="0.25">
      <c r="A1253" t="s">
        <v>5251</v>
      </c>
      <c r="C1253" t="s">
        <v>1992</v>
      </c>
      <c r="D1253" t="s">
        <v>25</v>
      </c>
      <c r="H1253">
        <f t="shared" si="19"/>
        <v>0</v>
      </c>
    </row>
    <row r="1254" spans="1:24" x14ac:dyDescent="0.25">
      <c r="A1254" t="s">
        <v>5251</v>
      </c>
      <c r="C1254" t="s">
        <v>1993</v>
      </c>
      <c r="D1254" t="s">
        <v>25</v>
      </c>
      <c r="E1254" t="s">
        <v>1994</v>
      </c>
      <c r="H1254" t="str">
        <f t="shared" si="19"/>
        <v>Dump memory stats to text file.</v>
      </c>
    </row>
    <row r="1255" spans="1:24" x14ac:dyDescent="0.25">
      <c r="A1255" t="s">
        <v>5251</v>
      </c>
      <c r="C1255" t="s">
        <v>1995</v>
      </c>
      <c r="D1255" t="s">
        <v>25</v>
      </c>
      <c r="E1255" t="s">
        <v>1996</v>
      </c>
      <c r="H1255" t="str">
        <f t="shared" si="19"/>
        <v>Dump VB memory allocation stats.</v>
      </c>
    </row>
    <row r="1256" spans="1:24" x14ac:dyDescent="0.25">
      <c r="A1256" t="s">
        <v>5251</v>
      </c>
      <c r="C1256" t="s">
        <v>1997</v>
      </c>
      <c r="D1256" t="s">
        <v>25</v>
      </c>
      <c r="H1256">
        <f t="shared" si="19"/>
        <v>0</v>
      </c>
    </row>
    <row r="1257" spans="1:24" x14ac:dyDescent="0.25">
      <c r="A1257" t="s">
        <v>5251</v>
      </c>
      <c r="C1257" t="s">
        <v>1998</v>
      </c>
      <c r="D1257" t="s">
        <v>25</v>
      </c>
      <c r="H1257">
        <f t="shared" si="19"/>
        <v>0</v>
      </c>
    </row>
    <row r="1258" spans="1:24" x14ac:dyDescent="0.25">
      <c r="A1258" t="s">
        <v>5251</v>
      </c>
      <c r="C1258" t="s">
        <v>1999</v>
      </c>
      <c r="D1258">
        <v>0</v>
      </c>
      <c r="E1258" t="s">
        <v>2000</v>
      </c>
      <c r="H1258" t="str">
        <f t="shared" si="19"/>
        <v>Rate at which to attempt internal heap compation</v>
      </c>
      <c r="L1258" t="s">
        <v>5</v>
      </c>
    </row>
    <row r="1259" spans="1:24" x14ac:dyDescent="0.25">
      <c r="A1259" t="s">
        <v>5251</v>
      </c>
      <c r="C1259" t="s">
        <v>2001</v>
      </c>
      <c r="D1259" t="s">
        <v>25</v>
      </c>
      <c r="H1259">
        <f t="shared" si="19"/>
        <v>0</v>
      </c>
    </row>
    <row r="1260" spans="1:24" x14ac:dyDescent="0.25">
      <c r="A1260" t="s">
        <v>5251</v>
      </c>
      <c r="C1260" t="s">
        <v>2002</v>
      </c>
      <c r="D1260" t="s">
        <v>25</v>
      </c>
      <c r="E1260" t="s">
        <v>2003</v>
      </c>
      <c r="H1260" t="str">
        <f t="shared" si="19"/>
        <v>Dumps the memory used by vcollides</v>
      </c>
    </row>
    <row r="1261" spans="1:24" x14ac:dyDescent="0.25">
      <c r="A1261" t="s">
        <v>5251</v>
      </c>
      <c r="C1261" t="s">
        <v>2004</v>
      </c>
      <c r="D1261" t="s">
        <v>25</v>
      </c>
      <c r="E1261" t="s">
        <v>2005</v>
      </c>
      <c r="H1261" t="str">
        <f t="shared" si="19"/>
        <v>Verify the validity of the heap</v>
      </c>
    </row>
    <row r="1262" spans="1:24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  <c r="H1262" t="str">
        <f t="shared" si="19"/>
        <v>Print memory stats.</v>
      </c>
    </row>
    <row r="1263" spans="1:24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  <c r="H1263" t="str">
        <f t="shared" si="19"/>
        <v>menuselect</v>
      </c>
    </row>
    <row r="1264" spans="1:24" x14ac:dyDescent="0.25">
      <c r="A1264" t="s">
        <v>5251</v>
      </c>
      <c r="C1264" t="s">
        <v>2009</v>
      </c>
      <c r="D1264" t="s">
        <v>25</v>
      </c>
      <c r="E1264" t="s">
        <v>2010</v>
      </c>
      <c r="H1264" t="str">
        <f t="shared" si="19"/>
        <v>Saves game (for current level only!)</v>
      </c>
    </row>
    <row r="1265" spans="1:24" x14ac:dyDescent="0.25">
      <c r="A1265" t="s">
        <v>5251</v>
      </c>
      <c r="C1265" t="s">
        <v>2011</v>
      </c>
      <c r="D1265">
        <v>3</v>
      </c>
      <c r="E1265" t="s">
        <v>2012</v>
      </c>
      <c r="H1265" t="str">
        <f t="shared" si="19"/>
        <v>When performing CSGO community matchmaking look for servers with at least so many human players</v>
      </c>
      <c r="I1265" t="s">
        <v>2</v>
      </c>
    </row>
    <row r="1266" spans="1:24" x14ac:dyDescent="0.25">
      <c r="A1266" t="s">
        <v>5251</v>
      </c>
      <c r="C1266" t="s">
        <v>2013</v>
      </c>
      <c r="D1266" t="s">
        <v>25</v>
      </c>
      <c r="E1266" t="s">
        <v>2014</v>
      </c>
      <c r="H1266" t="str">
        <f t="shared" si="19"/>
        <v>Shows information retrieved from data center</v>
      </c>
    </row>
    <row r="1267" spans="1:24" x14ac:dyDescent="0.25">
      <c r="A1267" t="s">
        <v>5251</v>
      </c>
      <c r="C1267" t="s">
        <v>2015</v>
      </c>
      <c r="D1267" t="s">
        <v>25</v>
      </c>
      <c r="E1267" t="s">
        <v>2016</v>
      </c>
      <c r="H1267" t="str">
        <f t="shared" si="19"/>
        <v>Show debug information about current matchmaking session</v>
      </c>
    </row>
    <row r="1268" spans="1:24" x14ac:dyDescent="0.25">
      <c r="A1268" t="s">
        <v>5251</v>
      </c>
      <c r="C1268" t="s">
        <v>2017</v>
      </c>
      <c r="D1268">
        <v>0</v>
      </c>
      <c r="E1268" t="s">
        <v>5202</v>
      </c>
      <c r="H1268" t="str">
        <f t="shared" si="19"/>
        <v>Comma delimited list of ip:port of servers used to search for dedicated servers instead of searching for public servers. Use sy</v>
      </c>
    </row>
    <row r="1269" spans="1:24" x14ac:dyDescent="0.25">
      <c r="A1269" t="s">
        <v>5251</v>
      </c>
      <c r="C1269" t="s">
        <v>2018</v>
      </c>
      <c r="D1269">
        <v>200</v>
      </c>
      <c r="E1269" t="s">
        <v>2019</v>
      </c>
      <c r="H1269" t="str">
        <f t="shared" si="19"/>
        <v>Longest preferred ping to dedicated servers for games</v>
      </c>
      <c r="I1269" t="s">
        <v>2</v>
      </c>
    </row>
    <row r="1270" spans="1:24" x14ac:dyDescent="0.25">
      <c r="A1270" t="s">
        <v>5251</v>
      </c>
      <c r="C1270" t="s">
        <v>2020</v>
      </c>
      <c r="D1270" t="s">
        <v>25</v>
      </c>
      <c r="E1270" t="s">
        <v>2021</v>
      </c>
      <c r="H1270" t="str">
        <f t="shared" si="19"/>
        <v>Shows information about dlc</v>
      </c>
    </row>
    <row r="1271" spans="1:24" x14ac:dyDescent="0.25">
      <c r="A1271" t="s">
        <v>5251</v>
      </c>
      <c r="C1271" t="s">
        <v>2022</v>
      </c>
      <c r="D1271" t="s">
        <v>25</v>
      </c>
      <c r="E1271" t="s">
        <v>2023</v>
      </c>
      <c r="H1271" t="str">
        <f t="shared" si="19"/>
        <v>Display global server stats</v>
      </c>
    </row>
    <row r="1272" spans="1:24" x14ac:dyDescent="0.25">
      <c r="A1272" t="s">
        <v>5251</v>
      </c>
      <c r="C1272" t="s">
        <v>2024</v>
      </c>
      <c r="D1272">
        <v>27015</v>
      </c>
      <c r="E1272" t="s">
        <v>2025</v>
      </c>
      <c r="H1272" t="str">
        <f t="shared" si="19"/>
        <v>Ports to scan during LAN games discovery. Also used to discover and correctly connect to dedicated LAN servers behind NATs.</v>
      </c>
      <c r="I1272" t="s">
        <v>2</v>
      </c>
    </row>
    <row r="1273" spans="1:24" x14ac:dyDescent="0.25">
      <c r="A1273" t="s">
        <v>5251</v>
      </c>
      <c r="C1273" t="s">
        <v>2026</v>
      </c>
      <c r="D1273">
        <v>4</v>
      </c>
      <c r="H1273">
        <f t="shared" si="19"/>
        <v>0</v>
      </c>
    </row>
    <row r="1274" spans="1:24" x14ac:dyDescent="0.25">
      <c r="A1274" t="s">
        <v>5251</v>
      </c>
      <c r="C1274" t="s">
        <v>2027</v>
      </c>
      <c r="D1274">
        <v>15</v>
      </c>
      <c r="H1274">
        <f t="shared" si="19"/>
        <v>0</v>
      </c>
    </row>
    <row r="1275" spans="1:24" x14ac:dyDescent="0.25">
      <c r="A1275" t="s">
        <v>5251</v>
      </c>
      <c r="C1275" t="s">
        <v>2028</v>
      </c>
      <c r="D1275">
        <v>180</v>
      </c>
      <c r="H1275">
        <f t="shared" si="19"/>
        <v>0</v>
      </c>
    </row>
    <row r="1276" spans="1:24" x14ac:dyDescent="0.25">
      <c r="A1276" t="s">
        <v>5251</v>
      </c>
      <c r="C1276" t="s">
        <v>2029</v>
      </c>
      <c r="D1276">
        <v>0</v>
      </c>
      <c r="H1276">
        <f t="shared" si="19"/>
        <v>0</v>
      </c>
    </row>
    <row r="1277" spans="1:24" x14ac:dyDescent="0.25">
      <c r="A1277" t="s">
        <v>5251</v>
      </c>
      <c r="C1277" t="s">
        <v>2030</v>
      </c>
      <c r="D1277" t="s">
        <v>25</v>
      </c>
      <c r="E1277" t="s">
        <v>2031</v>
      </c>
      <c r="H1277" t="str">
        <f t="shared" si="19"/>
        <v>debug spew for Combiner Info</v>
      </c>
    </row>
    <row r="1278" spans="1:24" x14ac:dyDescent="0.25">
      <c r="A1278" t="s">
        <v>5251</v>
      </c>
      <c r="C1278" t="s">
        <v>2032</v>
      </c>
      <c r="D1278" t="s">
        <v>25</v>
      </c>
      <c r="E1278" t="s">
        <v>2033</v>
      </c>
      <c r="H1278" t="str">
        <f t="shared" si="19"/>
        <v>Dumps the weapon view model cache contents</v>
      </c>
    </row>
    <row r="1279" spans="1:24" x14ac:dyDescent="0.25">
      <c r="A1279" t="s">
        <v>5251</v>
      </c>
      <c r="C1279" t="s">
        <v>2034</v>
      </c>
      <c r="D1279" t="s">
        <v>25</v>
      </c>
      <c r="E1279" t="s">
        <v>2035</v>
      </c>
      <c r="H1279" t="str">
        <f t="shared" si="19"/>
        <v>Dumps the weapon world model cache contents</v>
      </c>
    </row>
    <row r="1280" spans="1:24" x14ac:dyDescent="0.25">
      <c r="A1280" t="s">
        <v>5253</v>
      </c>
      <c r="B1280" t="s">
        <v>5257</v>
      </c>
      <c r="C1280" t="s">
        <v>2036</v>
      </c>
      <c r="D1280">
        <v>2</v>
      </c>
      <c r="H1280">
        <f t="shared" si="19"/>
        <v>0</v>
      </c>
      <c r="S1280" t="s">
        <v>12</v>
      </c>
      <c r="X1280" t="s">
        <v>17</v>
      </c>
    </row>
    <row r="1281" spans="1:24" x14ac:dyDescent="0.25">
      <c r="A1281" t="s">
        <v>5252</v>
      </c>
      <c r="C1281" t="s">
        <v>2037</v>
      </c>
      <c r="D1281">
        <v>0</v>
      </c>
      <c r="E1281" t="s">
        <v>2038</v>
      </c>
      <c r="H1281" t="str">
        <f t="shared" si="19"/>
        <v>The MOTD file to load.</v>
      </c>
      <c r="K1281" t="s">
        <v>4</v>
      </c>
    </row>
    <row r="1282" spans="1:24" x14ac:dyDescent="0.25">
      <c r="A1282" t="s">
        <v>5251</v>
      </c>
      <c r="B1282" t="s">
        <v>25</v>
      </c>
      <c r="C1282" t="s">
        <v>2039</v>
      </c>
      <c r="D1282" t="s">
        <v>25</v>
      </c>
      <c r="H1282">
        <f t="shared" si="19"/>
        <v>0</v>
      </c>
    </row>
    <row r="1283" spans="1:24" x14ac:dyDescent="0.25">
      <c r="A1283" t="s">
        <v>5251</v>
      </c>
      <c r="B1283" t="s">
        <v>25</v>
      </c>
      <c r="C1283" t="s">
        <v>2040</v>
      </c>
      <c r="D1283" t="s">
        <v>25</v>
      </c>
      <c r="H1283">
        <f t="shared" ref="H1283:H1346" si="20">IF(F1283="",E1283, F1283 &amp; " - Original Helptext: " &amp;E1283)</f>
        <v>0</v>
      </c>
    </row>
    <row r="1284" spans="1:24" x14ac:dyDescent="0.25">
      <c r="A1284" t="s">
        <v>5251</v>
      </c>
      <c r="B1284" t="s">
        <v>25</v>
      </c>
      <c r="C1284" t="s">
        <v>2041</v>
      </c>
      <c r="D1284" t="s">
        <v>25</v>
      </c>
      <c r="H1284">
        <f t="shared" si="20"/>
        <v>0</v>
      </c>
    </row>
    <row r="1285" spans="1:24" x14ac:dyDescent="0.25">
      <c r="A1285" t="s">
        <v>5251</v>
      </c>
      <c r="B1285" t="s">
        <v>25</v>
      </c>
      <c r="C1285" t="s">
        <v>2042</v>
      </c>
      <c r="D1285" t="s">
        <v>25</v>
      </c>
      <c r="H1285">
        <f t="shared" si="20"/>
        <v>0</v>
      </c>
    </row>
    <row r="1286" spans="1:24" x14ac:dyDescent="0.25">
      <c r="A1286" t="s">
        <v>5251</v>
      </c>
      <c r="B1286" t="s">
        <v>25</v>
      </c>
      <c r="C1286" t="s">
        <v>2043</v>
      </c>
      <c r="D1286" t="s">
        <v>25</v>
      </c>
      <c r="H1286">
        <f t="shared" si="20"/>
        <v>0</v>
      </c>
    </row>
    <row r="1287" spans="1:24" x14ac:dyDescent="0.25">
      <c r="A1287" t="s">
        <v>5251</v>
      </c>
      <c r="B1287" t="s">
        <v>25</v>
      </c>
      <c r="C1287" t="s">
        <v>2044</v>
      </c>
      <c r="D1287" t="s">
        <v>25</v>
      </c>
      <c r="H1287">
        <f t="shared" si="20"/>
        <v>0</v>
      </c>
    </row>
    <row r="1288" spans="1:24" x14ac:dyDescent="0.25">
      <c r="A1288" t="s">
        <v>5251</v>
      </c>
      <c r="B1288" t="s">
        <v>25</v>
      </c>
      <c r="C1288" t="s">
        <v>2045</v>
      </c>
      <c r="D1288" t="s">
        <v>25</v>
      </c>
      <c r="H1288">
        <f t="shared" si="20"/>
        <v>0</v>
      </c>
    </row>
    <row r="1289" spans="1:24" x14ac:dyDescent="0.25">
      <c r="A1289" t="s">
        <v>5251</v>
      </c>
      <c r="B1289" t="s">
        <v>25</v>
      </c>
      <c r="C1289" t="s">
        <v>2046</v>
      </c>
      <c r="D1289" t="s">
        <v>25</v>
      </c>
      <c r="H1289">
        <f t="shared" si="20"/>
        <v>0</v>
      </c>
    </row>
    <row r="1290" spans="1:24" x14ac:dyDescent="0.25">
      <c r="A1290" t="s">
        <v>5251</v>
      </c>
      <c r="C1290" t="s">
        <v>2047</v>
      </c>
      <c r="D1290" t="s">
        <v>25</v>
      </c>
      <c r="E1290" t="s">
        <v>2048</v>
      </c>
      <c r="H1290" t="str">
        <f t="shared" si="20"/>
        <v>Fixup corrupted .wav file if engine crashed during startmovie/endmovie, etc.</v>
      </c>
    </row>
    <row r="1291" spans="1:24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H1291" t="str">
        <f t="shared" si="20"/>
        <v>amount of money awared to every player after each round</v>
      </c>
      <c r="S1291" t="s">
        <v>12</v>
      </c>
      <c r="X1291" t="s">
        <v>17</v>
      </c>
    </row>
    <row r="1292" spans="1:24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H1292" t="str">
        <f t="shared" si="20"/>
        <v>If set, everyone can pick up the c4, not just Ts.</v>
      </c>
      <c r="S1292" t="s">
        <v>12</v>
      </c>
      <c r="X1292" t="s">
        <v>17</v>
      </c>
    </row>
    <row r="1293" spans="1:24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tr">
        <f t="shared" si="20"/>
        <v>Kick idle/team-killing/team-damaging players</v>
      </c>
      <c r="K1293" t="s">
        <v>4</v>
      </c>
      <c r="S1293" t="s">
        <v>12</v>
      </c>
    </row>
    <row r="1294" spans="1:24" x14ac:dyDescent="0.25">
      <c r="A1294" t="s">
        <v>5253</v>
      </c>
      <c r="B1294" t="s">
        <v>5257</v>
      </c>
      <c r="C1294" t="s">
        <v>2055</v>
      </c>
      <c r="D1294">
        <v>1</v>
      </c>
      <c r="F1294" t="s">
        <v>5260</v>
      </c>
      <c r="H1294" t="str">
        <f t="shared" si="20"/>
        <v xml:space="preserve"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 - Original Helptext: </v>
      </c>
      <c r="K1294" t="s">
        <v>4</v>
      </c>
      <c r="N1294" t="s">
        <v>7</v>
      </c>
    </row>
    <row r="1295" spans="1:24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  <c r="H1295" t="str">
        <f t="shared" si="20"/>
        <v>Lists recent backup round files matching the prefix, most recent files first, accepts a numeric parameter to limit the number o</v>
      </c>
    </row>
    <row r="1296" spans="1:24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tr">
        <f t="shared" si="20"/>
        <v>Whether to automatically pause the match after restoring round data from backup</v>
      </c>
      <c r="K1296" t="s">
        <v>4</v>
      </c>
    </row>
    <row r="1297" spans="1:24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  <c r="H1297" t="str">
        <f t="shared" si="20"/>
        <v>Loads player cash, KDA, scores and team scores; resets to the next round after the backup</v>
      </c>
    </row>
    <row r="1298" spans="1:24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tr">
        <f t="shared" si="20"/>
        <v>If enabled will keep in-memory backups to handle reconnecting players even if the backup files aren't written to disk</v>
      </c>
      <c r="K1298" t="s">
        <v>4</v>
      </c>
    </row>
    <row r="1299" spans="1:24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tr">
        <f t="shared" si="20"/>
        <v>If set then server will save all played rounds information to files filename_date_time_team1_team2_mapname_roundnum_score1_scor</v>
      </c>
      <c r="K1299" t="s">
        <v>4</v>
      </c>
    </row>
    <row r="1300" spans="1:24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tr">
        <f t="shared" si="20"/>
        <v>Every time a backup file is written the value of this convar gets updated to hold the name of the backup file.</v>
      </c>
      <c r="K1300" t="s">
        <v>4</v>
      </c>
    </row>
    <row r="1301" spans="1:24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tr">
        <f t="shared" si="20"/>
        <v>If set then server will save all played rounds information to files named by this pattern, e.g.'%prefix%_%date%_%time%_%team1%_</v>
      </c>
      <c r="K1301" t="s">
        <v>4</v>
      </c>
    </row>
    <row r="1302" spans="1:24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tr">
        <f t="shared" si="20"/>
        <v>Use the specified behavior tree file to drive the bot behavior.</v>
      </c>
      <c r="K1302" t="s">
        <v>4</v>
      </c>
    </row>
    <row r="1303" spans="1:24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  <c r="H1303" t="str">
        <f t="shared" si="20"/>
        <v>Clears the cache for behavior tree files.</v>
      </c>
    </row>
    <row r="1304" spans="1:24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H1304" t="str">
        <f t="shared" si="20"/>
        <v>Whether players can purchase grenades from the buy menu or not.</v>
      </c>
      <c r="S1304" t="s">
        <v>12</v>
      </c>
      <c r="X1304" t="s">
        <v>17</v>
      </c>
    </row>
    <row r="1305" spans="1:24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H1305" t="str">
        <f t="shared" si="20"/>
        <v>Whether players can purchase guns: pistols (1), SMGs (2), rifles (4), shotguns (8), sniper rifles (16), heavy MGs (32).</v>
      </c>
      <c r="S1305" t="s">
        <v>12</v>
      </c>
      <c r="X1305" t="s">
        <v>17</v>
      </c>
    </row>
    <row r="1306" spans="1:24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H1306" t="str">
        <f t="shared" si="20"/>
        <v>When set, players can buy anywhere, not only in buyzones. 0 = default. 1 = both teams. 2 = Terrorists. 3 = Counter-Terrorists.</v>
      </c>
      <c r="N1306" t="s">
        <v>7</v>
      </c>
      <c r="S1306" t="s">
        <v>12</v>
      </c>
      <c r="X1306" t="s">
        <v>17</v>
      </c>
    </row>
    <row r="1307" spans="1:24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H1307" t="str">
        <f t="shared" si="20"/>
        <v>When set, players can buy when immune, ignoring buytime. 0 = default. 1 = both teams. 2 = Terrorists. 3 = Counter-Terrorists.</v>
      </c>
      <c r="N1307" t="s">
        <v>7</v>
      </c>
      <c r="S1307" t="s">
        <v>12</v>
      </c>
      <c r="X1307" t="s">
        <v>17</v>
      </c>
    </row>
    <row r="1308" spans="1:24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H1308" t="str">
        <f t="shared" si="20"/>
        <v>How many seconds after round start players can buy items for.</v>
      </c>
      <c r="S1308" t="s">
        <v>12</v>
      </c>
      <c r="X1308" t="s">
        <v>17</v>
      </c>
    </row>
    <row r="1309" spans="1:24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H1309" t="str">
        <f t="shared" si="20"/>
        <v>If set, the planted c4 cannot be defused.</v>
      </c>
      <c r="S1309" t="s">
        <v>12</v>
      </c>
      <c r="X1309" t="s">
        <v>17</v>
      </c>
    </row>
    <row r="1310" spans="1:24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H1310" t="str">
        <f t="shared" si="20"/>
        <v>how long from when the C4 is armed until it blows</v>
      </c>
      <c r="N1310" t="s">
        <v>7</v>
      </c>
      <c r="S1310" t="s">
        <v>12</v>
      </c>
      <c r="X1310" t="s">
        <v>17</v>
      </c>
    </row>
    <row r="1311" spans="1:24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tr">
        <f t="shared" si="20"/>
        <v>After a competitive match finishes rematch voting extra time is given for rankings.</v>
      </c>
      <c r="K1311" t="s">
        <v>4</v>
      </c>
    </row>
    <row r="1312" spans="1:24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tr">
        <f t="shared" si="20"/>
        <v>How loss streak is affected with round win: 0 = win fully resets loss bonus, 1 = first win steps down loss bonus, 2 = first win</v>
      </c>
      <c r="K1312" t="s">
        <v>4</v>
      </c>
      <c r="S1312" t="s">
        <v>12</v>
      </c>
    </row>
    <row r="1313" spans="1:24" x14ac:dyDescent="0.25">
      <c r="A1313" t="s">
        <v>5251</v>
      </c>
      <c r="B1313" t="s">
        <v>5257</v>
      </c>
      <c r="C1313" t="s">
        <v>2092</v>
      </c>
      <c r="D1313">
        <v>4</v>
      </c>
      <c r="H1313">
        <f t="shared" si="20"/>
        <v>0</v>
      </c>
      <c r="K1313" t="s">
        <v>4</v>
      </c>
      <c r="S1313" t="s">
        <v>12</v>
      </c>
    </row>
    <row r="1314" spans="1:24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H1314" t="str">
        <f t="shared" si="20"/>
        <v>If set, real players will auto join CT on join.</v>
      </c>
      <c r="S1314" t="s">
        <v>12</v>
      </c>
      <c r="X1314" t="s">
        <v>17</v>
      </c>
    </row>
    <row r="1315" spans="1:24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tr">
        <f t="shared" si="20"/>
        <v>The difficulty offset modifier for bots during coop missions.</v>
      </c>
      <c r="K1315" t="s">
        <v>4</v>
      </c>
      <c r="S1315" t="s">
        <v>12</v>
      </c>
    </row>
    <row r="1316" spans="1:24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H1316" t="str">
        <f t="shared" si="20"/>
        <v>Which mission the map should run after it loads.</v>
      </c>
      <c r="S1316" t="s">
        <v>12</v>
      </c>
      <c r="X1316" t="s">
        <v>17</v>
      </c>
    </row>
    <row r="1317" spans="1:24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H1317" t="str">
        <f t="shared" si="20"/>
        <v>The default grenades that the CTs will spawn with.  To give multiple grenades, separate each weapon class with a space like thi</v>
      </c>
      <c r="S1317" t="s">
        <v>12</v>
      </c>
      <c r="X1317" t="s">
        <v>17</v>
      </c>
    </row>
    <row r="1318" spans="1:24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H1318" t="str">
        <f t="shared" si="20"/>
        <v>The default melee weapon that the CTs will spawn with.  Even if this is blank, a knife will be given.  To give a taser, it shou</v>
      </c>
      <c r="S1318" t="s">
        <v>12</v>
      </c>
      <c r="X1318" t="s">
        <v>17</v>
      </c>
    </row>
    <row r="1319" spans="1:24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H1319" t="str">
        <f t="shared" si="20"/>
        <v>The default primary (rifle) weapon that the CTs will spawn with</v>
      </c>
      <c r="S1319" t="s">
        <v>12</v>
      </c>
      <c r="X1319" t="s">
        <v>17</v>
      </c>
    </row>
    <row r="1320" spans="1:24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H1320" t="str">
        <f t="shared" si="20"/>
        <v>The default secondary (pistol) weapon that the CTs will spawn with</v>
      </c>
      <c r="S1320" t="s">
        <v>12</v>
      </c>
      <c r="X1320" t="s">
        <v>17</v>
      </c>
    </row>
    <row r="1321" spans="1:24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tr">
        <f t="shared" si="20"/>
        <v>Determines whether non-headshot hits do any damage.</v>
      </c>
      <c r="K1321" t="s">
        <v>4</v>
      </c>
      <c r="S1321" t="s">
        <v>12</v>
      </c>
    </row>
    <row r="1322" spans="1:24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tr">
        <f t="shared" si="20"/>
        <v>Scales the damage a CT player takes by this much when they take damage in the body. (1 == 100%, 0.5 == 50%)</v>
      </c>
      <c r="K1322" t="s">
        <v>4</v>
      </c>
      <c r="S1322" t="s">
        <v>12</v>
      </c>
    </row>
    <row r="1323" spans="1:24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tr">
        <f t="shared" si="20"/>
        <v>Scales the damage a CT player takes by this much when they take damage in the head (1 == 100%, 0.5 == 50%).  REMEMBER! headshot</v>
      </c>
      <c r="K1323" t="s">
        <v>4</v>
      </c>
      <c r="S1323" t="s">
        <v>12</v>
      </c>
    </row>
    <row r="1324" spans="1:24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tr">
        <f t="shared" si="20"/>
        <v>Scales the damage a T player takes by this much when they take damage in the body. (1 == 100%, 0.5 == 50%)</v>
      </c>
      <c r="K1324" t="s">
        <v>4</v>
      </c>
      <c r="S1324" t="s">
        <v>12</v>
      </c>
    </row>
    <row r="1325" spans="1:24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tr">
        <f t="shared" si="20"/>
        <v>Scales the damage a T player takes by this much when they take damage in the head (1 == 100%, 0.5 == 50%).  REMEMBER! headshots</v>
      </c>
      <c r="K1325" t="s">
        <v>4</v>
      </c>
      <c r="S1325" t="s">
        <v>12</v>
      </c>
    </row>
    <row r="1326" spans="1:24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tr">
        <f t="shared" si="20"/>
        <v>If Set to non-0, will determine the fraction of damage dealt that will be given to attacker.</v>
      </c>
      <c r="K1326" t="s">
        <v>4</v>
      </c>
      <c r="S1326" t="s">
        <v>12</v>
      </c>
    </row>
    <row r="1327" spans="1:24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H1327" t="str">
        <f t="shared" si="20"/>
        <v>Drop breachcharge on player death</v>
      </c>
      <c r="S1327" t="s">
        <v>12</v>
      </c>
      <c r="X1327" t="s">
        <v>17</v>
      </c>
    </row>
    <row r="1328" spans="1:24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H1328" t="str">
        <f t="shared" si="20"/>
        <v>Whether c4 is droppable</v>
      </c>
      <c r="S1328" t="s">
        <v>12</v>
      </c>
      <c r="X1328" t="s">
        <v>17</v>
      </c>
    </row>
    <row r="1329" spans="1:24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H1329" t="str">
        <f t="shared" si="20"/>
        <v>Drop defuser on player death</v>
      </c>
      <c r="S1329" t="s">
        <v>12</v>
      </c>
      <c r="X1329" t="s">
        <v>17</v>
      </c>
    </row>
    <row r="1330" spans="1:24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H1330" t="str">
        <f t="shared" si="20"/>
        <v>Which grenade to drop on player death: 0=none, 1=best, 2=current or best, 3=all grenades</v>
      </c>
      <c r="S1330" t="s">
        <v>12</v>
      </c>
      <c r="X1330" t="s">
        <v>17</v>
      </c>
    </row>
    <row r="1331" spans="1:24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H1331" t="str">
        <f t="shared" si="20"/>
        <v>Which gun to drop on player death: 0=none, 1=best, 2=current or best</v>
      </c>
      <c r="S1331" t="s">
        <v>12</v>
      </c>
      <c r="X1331" t="s">
        <v>17</v>
      </c>
    </row>
    <row r="1332" spans="1:24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H1332" t="str">
        <f t="shared" si="20"/>
        <v>Drop healthshot on player death</v>
      </c>
      <c r="S1332" t="s">
        <v>12</v>
      </c>
      <c r="X1332" t="s">
        <v>17</v>
      </c>
    </row>
    <row r="1333" spans="1:24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H1333" t="str">
        <f t="shared" si="20"/>
        <v>Drop taser on player death</v>
      </c>
      <c r="S1333" t="s">
        <v>12</v>
      </c>
      <c r="X1333" t="s">
        <v>17</v>
      </c>
    </row>
    <row r="1334" spans="1:24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tr">
        <f t="shared" si="20"/>
        <v>Determines whether a player can early-out of the deathcam.</v>
      </c>
      <c r="K1334" t="s">
        <v>4</v>
      </c>
      <c r="S1334" t="s">
        <v>12</v>
      </c>
    </row>
    <row r="1335" spans="1:24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  <c r="H1335" t="str">
        <f t="shared" si="20"/>
        <v>Prints time outs to the console for debugging</v>
      </c>
    </row>
    <row r="1336" spans="1:24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H1336" t="str">
        <f t="shared" si="20"/>
        <v>If the map doesn't define an objective (bomb, hostage, etc), the value of this convar will declare the winner when the time run</v>
      </c>
      <c r="S1336" t="s">
        <v>12</v>
      </c>
      <c r="X1336" t="s">
        <v>17</v>
      </c>
    </row>
    <row r="1337" spans="1:24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H1337" t="str">
        <f t="shared" si="20"/>
        <v>How to allocate defusers to CTs at start or round: 0=none, 1=random, 2=everyone</v>
      </c>
      <c r="S1337" t="s">
        <v>12</v>
      </c>
      <c r="X1337" t="s">
        <v>17</v>
      </c>
    </row>
    <row r="1338" spans="1:24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  <c r="H1338" t="str">
        <f t="shared" si="20"/>
        <v>Prevents a userid from being auto-kicked</v>
      </c>
    </row>
    <row r="1339" spans="1:24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tr">
        <f t="shared" si="20"/>
        <v>When a bot disconnects, kill them first.  Requires mp_disconnect_kills_players.</v>
      </c>
      <c r="K1339" t="s">
        <v>4</v>
      </c>
    </row>
    <row r="1340" spans="1:24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tr">
        <f t="shared" si="20"/>
        <v>When a player disconnects, kill them first (triggering item drops, stats, etc.)</v>
      </c>
      <c r="K1340" t="s">
        <v>4</v>
      </c>
    </row>
    <row r="1341" spans="1:24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H1341" t="str">
        <f t="shared" si="20"/>
        <v>Whether to display and score player assists</v>
      </c>
      <c r="S1341" t="s">
        <v>12</v>
      </c>
      <c r="X1341" t="s">
        <v>17</v>
      </c>
    </row>
    <row r="1342" spans="1:24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tr">
        <f t="shared" si="20"/>
        <v>Maximum time the bonus time will last (in seconds)</v>
      </c>
      <c r="K1342" t="s">
        <v>4</v>
      </c>
      <c r="S1342" t="s">
        <v>12</v>
      </c>
    </row>
    <row r="1343" spans="1:24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tr">
        <f t="shared" si="20"/>
        <v>Minimum time the bonus time will last (in seconds)</v>
      </c>
      <c r="K1343" t="s">
        <v>4</v>
      </c>
      <c r="S1343" t="s">
        <v>12</v>
      </c>
    </row>
    <row r="1344" spans="1:24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H1344" t="str">
        <f t="shared" si="20"/>
        <v>Percent of points additionally awarded when someone gets a kill with the bonus weapon during the bonus period.</v>
      </c>
      <c r="S1344" t="s">
        <v>12</v>
      </c>
      <c r="X1344" t="s">
        <v>17</v>
      </c>
    </row>
    <row r="1345" spans="1:24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H1345" t="str">
        <f t="shared" si="20"/>
        <v>When attempting to get the bonus weapon in deathmatch, whether we should respawn you with it or just give it to you directly</v>
      </c>
      <c r="S1345" t="s">
        <v>12</v>
      </c>
      <c r="X1345" t="s">
        <v>17</v>
      </c>
    </row>
    <row r="1346" spans="1:24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H1346" t="str">
        <f t="shared" si="20"/>
        <v>Additional dogtags to drop when making a kill with the bonus weapon</v>
      </c>
      <c r="S1346" t="s">
        <v>12</v>
      </c>
      <c r="X1346" t="s">
        <v>17</v>
      </c>
    </row>
    <row r="1347" spans="1:24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H1347" t="str">
        <f t="shared" ref="H1347:H1410" si="21">IF(F1347="",E1347, F1347 &amp; " - Original Helptext: " &amp;E1347)</f>
        <v>Points to award for picking up a dogtag in deathmatch.</v>
      </c>
      <c r="S1347" t="s">
        <v>12</v>
      </c>
      <c r="X1347" t="s">
        <v>17</v>
      </c>
    </row>
    <row r="1348" spans="1:24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H1348" t="str">
        <f t="shared" si="21"/>
        <v>Number of base points to award for a kill in deathmatch.  Cheaper weapons award 1 or 2 additional points.</v>
      </c>
      <c r="S1348" t="s">
        <v>12</v>
      </c>
      <c r="X1348" t="s">
        <v>17</v>
      </c>
    </row>
    <row r="1349" spans="1:24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H1349" t="str">
        <f t="shared" si="21"/>
        <v>In deathmatch, enables team DM visuals &amp; scoring</v>
      </c>
      <c r="S1349" t="s">
        <v>12</v>
      </c>
      <c r="X1349" t="s">
        <v>17</v>
      </c>
    </row>
    <row r="1350" spans="1:24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H1350" t="str">
        <f t="shared" si="21"/>
        <v>Team deathmatch victory points to award for kill with bonus weapon</v>
      </c>
      <c r="S1350" t="s">
        <v>12</v>
      </c>
      <c r="X1350" t="s">
        <v>17</v>
      </c>
    </row>
    <row r="1351" spans="1:24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H1351" t="str">
        <f t="shared" si="21"/>
        <v>Team deathmatch victory points to award for collecting enemy dogtags</v>
      </c>
      <c r="S1351" t="s">
        <v>12</v>
      </c>
      <c r="X1351" t="s">
        <v>17</v>
      </c>
    </row>
    <row r="1352" spans="1:24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H1352" t="str">
        <f t="shared" si="21"/>
        <v>Team deathmatch victory points to award for enemy kill</v>
      </c>
      <c r="S1352" t="s">
        <v>12</v>
      </c>
      <c r="X1352" t="s">
        <v>17</v>
      </c>
    </row>
    <row r="1353" spans="1:24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tr">
        <f t="shared" si="21"/>
        <v>Maximum time a bonus time will start after the round start or after the last bonus (in seconds)</v>
      </c>
      <c r="K1353" t="s">
        <v>4</v>
      </c>
      <c r="S1353" t="s">
        <v>12</v>
      </c>
    </row>
    <row r="1354" spans="1:24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tr">
        <f t="shared" si="21"/>
        <v>Minimum time a bonus time will start after the round start or after the last bonus (in seconds)</v>
      </c>
      <c r="K1354" t="s">
        <v>4</v>
      </c>
      <c r="S1354" t="s">
        <v>12</v>
      </c>
    </row>
    <row r="1355" spans="1:24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H1355" t="str">
        <f t="shared" si="21"/>
        <v>Whether or not to do a warmup period at the start of a match in an offline (bot) match.</v>
      </c>
      <c r="S1355" t="s">
        <v>12</v>
      </c>
      <c r="X1355" t="s">
        <v>17</v>
      </c>
    </row>
    <row r="1356" spans="1:24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H1356" t="str">
        <f t="shared" si="21"/>
        <v>Whether or not to do a warmup period at the start of a match.</v>
      </c>
      <c r="S1356" t="s">
        <v>12</v>
      </c>
      <c r="X1356" t="s">
        <v>17</v>
      </c>
    </row>
    <row r="1357" spans="1:24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tr">
        <f t="shared" si="21"/>
        <v>Whether dogtags should despawn when their killer dies</v>
      </c>
      <c r="K1357" t="s">
        <v>4</v>
      </c>
      <c r="S1357" t="s">
        <v>12</v>
      </c>
    </row>
    <row r="1358" spans="1:24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tr">
        <f t="shared" si="21"/>
        <v>How many seconds dogtags should stay around before despawning automatically (0 = infinite)</v>
      </c>
      <c r="K1358" t="s">
        <v>4</v>
      </c>
      <c r="S1358" t="s">
        <v>12</v>
      </c>
    </row>
    <row r="1359" spans="1:24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tr">
        <f t="shared" si="21"/>
        <v>Who is eligible to pick up a dogtag (0 = killer only, 1 = killer's team, 2 = victim's team, 3 = killer &amp; victim's team, 4 = any</v>
      </c>
      <c r="K1359" t="s">
        <v>4</v>
      </c>
      <c r="S1359" t="s">
        <v>12</v>
      </c>
    </row>
    <row r="1360" spans="1:24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tr">
        <f t="shared" si="21"/>
        <v>Allows players to drop grenades.</v>
      </c>
      <c r="K1360" t="s">
        <v>4</v>
      </c>
    </row>
    <row r="1361" spans="1:24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tr">
        <f t="shared" si="21"/>
        <v>Allows players to drop knives.</v>
      </c>
      <c r="K1361" t="s">
        <v>4</v>
      </c>
    </row>
    <row r="1362" spans="1:24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  <c r="H1362" t="str">
        <f t="shared" si="21"/>
        <v>Prints round timers to the console for debugging</v>
      </c>
    </row>
    <row r="1363" spans="1:24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H1363" t="str">
        <f t="shared" si="21"/>
        <v>Reset all player money every N rounds (0 for never)</v>
      </c>
      <c r="S1363" t="s">
        <v>12</v>
      </c>
      <c r="X1363" t="s">
        <v>17</v>
      </c>
    </row>
    <row r="1364" spans="1:24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H1364" t="str">
        <f t="shared" si="21"/>
        <v>If mp_endmatch_votenextmap is set, players have this much time to vote on the next map at match end.</v>
      </c>
      <c r="X1364" t="s">
        <v>17</v>
      </c>
    </row>
    <row r="1365" spans="1:24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H1365" t="str">
        <f t="shared" si="21"/>
        <v>Whether or not players vote for the next map at the end of the match when the final scoreboard comes up</v>
      </c>
      <c r="S1365" t="s">
        <v>12</v>
      </c>
      <c r="X1365" t="s">
        <v>17</v>
      </c>
    </row>
    <row r="1366" spans="1:24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H1366" t="str">
        <f t="shared" si="21"/>
        <v>If set, keeps the current map in the list of voting options.  If not set, the current map will not appear in the list of voting</v>
      </c>
      <c r="S1366" t="s">
        <v>12</v>
      </c>
      <c r="X1366" t="s">
        <v>17</v>
      </c>
    </row>
    <row r="1367" spans="1:24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tr">
        <f t="shared" si="21"/>
        <v>Modes available for endmatch voting during War Games. Separate names with spaces.</v>
      </c>
      <c r="K1367" t="s">
        <v>4</v>
      </c>
    </row>
    <row r="1368" spans="1:24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tr">
        <f t="shared" si="21"/>
        <v>Maximum number of maps to include in endmatch voting during War Games</v>
      </c>
      <c r="K1368" t="s">
        <v>4</v>
      </c>
    </row>
    <row r="1369" spans="1:24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tr">
        <f t="shared" si="21"/>
        <v>Maximum number of other War Games to include in endmatch voting during War Games</v>
      </c>
      <c r="K1369" t="s">
        <v>4</v>
      </c>
    </row>
    <row r="1370" spans="1:24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H1370" t="str">
        <f t="shared" si="21"/>
        <v>Number of players required to be connected to end warmup early. 0 to require maximum players for mode.</v>
      </c>
      <c r="S1370" t="s">
        <v>12</v>
      </c>
      <c r="X1370" t="s">
        <v>17</v>
      </c>
    </row>
    <row r="1371" spans="1:24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H1371" t="str">
        <f t="shared" si="21"/>
        <v>Reset all player equipment every N rounds (0 for never)</v>
      </c>
      <c r="S1371" t="s">
        <v>12</v>
      </c>
      <c r="X1371" t="s">
        <v>17</v>
      </c>
    </row>
    <row r="1372" spans="1:24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tr">
        <f t="shared" si="21"/>
        <v>Makes the server always play footstep sounds. Clients never calculate footstep sounds locally, instead relying on the server.</v>
      </c>
      <c r="K1372" t="s">
        <v>4</v>
      </c>
    </row>
    <row r="1373" spans="1:24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H1373" t="str">
        <f t="shared" si="21"/>
        <v>Players don't get to choose what team they are on, it is auto assinged.</v>
      </c>
      <c r="S1373" t="s">
        <v>12</v>
      </c>
      <c r="X1373" t="s">
        <v>17</v>
      </c>
    </row>
    <row r="1374" spans="1:24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H1374" t="str">
        <f t="shared" si="21"/>
        <v>The amount of time a player has on the team screen to make a selection before being auto-teamed</v>
      </c>
      <c r="S1374" t="s">
        <v>12</v>
      </c>
      <c r="X1374" t="s">
        <v>17</v>
      </c>
    </row>
    <row r="1375" spans="1:24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H1375" t="str">
        <f t="shared" si="21"/>
        <v>Restricts spectator modes for dead players. 0 = Any team. 1 = Only own team. 2 = No one; fade to black on death (previously mp_</v>
      </c>
      <c r="S1375" t="s">
        <v>12</v>
      </c>
      <c r="X1375" t="s">
        <v>17</v>
      </c>
    </row>
    <row r="1376" spans="1:24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  <c r="H1376" t="str">
        <f t="shared" si="21"/>
        <v>Force all players to respawn.</v>
      </c>
    </row>
    <row r="1377" spans="1:24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  <c r="H1377" t="str">
        <f t="shared" si="21"/>
        <v>Forces team to win</v>
      </c>
    </row>
    <row r="1378" spans="1:24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H1378" t="str">
        <f t="shared" si="21"/>
        <v>Determines whether kevlar (1+) and/or helmet (2+) are given automatically.</v>
      </c>
      <c r="S1378" t="s">
        <v>12</v>
      </c>
      <c r="X1378" t="s">
        <v>17</v>
      </c>
    </row>
    <row r="1379" spans="1:24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tr">
        <f t="shared" si="21"/>
        <v>how many seconds to keep players frozen when the round starts</v>
      </c>
      <c r="K1379" t="s">
        <v>4</v>
      </c>
      <c r="N1379" t="s">
        <v>7</v>
      </c>
      <c r="S1379" t="s">
        <v>12</v>
      </c>
    </row>
    <row r="1380" spans="1:24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H1380" t="str">
        <f t="shared" si="21"/>
        <v>Allows team members to injure other members of their team</v>
      </c>
      <c r="N1380" t="s">
        <v>7</v>
      </c>
      <c r="S1380" t="s">
        <v>12</v>
      </c>
      <c r="X1380" t="s">
        <v>17</v>
      </c>
    </row>
    <row r="1381" spans="1:24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H1381" t="str">
        <f t="shared" si="21"/>
        <v>If mp_ggprogressive_use_random_weapons is set, this is the number of kills needed with each weapon</v>
      </c>
      <c r="S1381" t="s">
        <v>12</v>
      </c>
      <c r="X1381" t="s">
        <v>17</v>
      </c>
    </row>
    <row r="1382" spans="1:24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H1382" t="str">
        <f t="shared" si="21"/>
        <v>Number of seconds to delay before restarting a round after a win in gungame progessive</v>
      </c>
      <c r="S1382" t="s">
        <v>12</v>
      </c>
      <c r="X1382" t="s">
        <v>17</v>
      </c>
    </row>
    <row r="1383" spans="1:24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H1383" t="str">
        <f t="shared" si="21"/>
        <v>If set, selects random weapons from set categories for the progression order</v>
      </c>
      <c r="S1383" t="s">
        <v>12</v>
      </c>
      <c r="X1383" t="s">
        <v>17</v>
      </c>
    </row>
    <row r="1384" spans="1:24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H1384" t="str">
        <f t="shared" si="21"/>
        <v>Award this many upgrade points every round in demolition mode</v>
      </c>
      <c r="S1384" t="s">
        <v>12</v>
      </c>
      <c r="X1384" t="s">
        <v>17</v>
      </c>
    </row>
    <row r="1385" spans="1:24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H1385" t="str">
        <f t="shared" si="21"/>
        <v>Number of bonus upgrades to award the CTs when they defuse a gun game bomb</v>
      </c>
      <c r="S1385" t="s">
        <v>12</v>
      </c>
      <c r="X1385" t="s">
        <v>17</v>
      </c>
    </row>
    <row r="1386" spans="1:24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H1386" t="str">
        <f t="shared" si="21"/>
        <v>Number of bonus upgrades to award the Ts when they detonate a gun game bomb</v>
      </c>
      <c r="S1386" t="s">
        <v>12</v>
      </c>
      <c r="X1386" t="s">
        <v>17</v>
      </c>
    </row>
    <row r="1387" spans="1:24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H1387" t="str">
        <f t="shared" si="21"/>
        <v>Kill points required in a round to get a bonus flash grenade</v>
      </c>
      <c r="S1387" t="s">
        <v>12</v>
      </c>
      <c r="X1387" t="s">
        <v>17</v>
      </c>
    </row>
    <row r="1388" spans="1:24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H1388" t="str">
        <f t="shared" si="21"/>
        <v>Kill points required in a round to get a bonus HE grenade</v>
      </c>
      <c r="S1388" t="s">
        <v>12</v>
      </c>
      <c r="X1388" t="s">
        <v>17</v>
      </c>
    </row>
    <row r="1389" spans="1:24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H1389" t="str">
        <f t="shared" si="21"/>
        <v>Kill points required in a round to get a bonus molotov cocktail</v>
      </c>
      <c r="S1389" t="s">
        <v>12</v>
      </c>
      <c r="X1389" t="s">
        <v>17</v>
      </c>
    </row>
    <row r="1390" spans="1:24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H1390" t="str">
        <f t="shared" si="21"/>
        <v>Kill points required to upgrade a player's weapon</v>
      </c>
      <c r="S1390" t="s">
        <v>12</v>
      </c>
      <c r="X1390" t="s">
        <v>17</v>
      </c>
    </row>
    <row r="1391" spans="1:24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H1391" t="str">
        <f t="shared" si="21"/>
        <v>Number of seconds to delay before making the bomb available to a respawner in gun game</v>
      </c>
      <c r="S1391" t="s">
        <v>12</v>
      </c>
      <c r="X1391" t="s">
        <v>17</v>
      </c>
    </row>
    <row r="1392" spans="1:24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H1392" t="str">
        <f t="shared" si="21"/>
        <v>Number of bonus points awarded in Demolition Mode when knife kill ends round</v>
      </c>
      <c r="S1392" t="s">
        <v>12</v>
      </c>
      <c r="X1392" t="s">
        <v>17</v>
      </c>
    </row>
    <row r="1393" spans="1:24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H1393" t="str">
        <f t="shared" si="21"/>
        <v>Number of seconds to delay during TR Mode halftime</v>
      </c>
      <c r="S1393" t="s">
        <v>12</v>
      </c>
      <c r="X1393" t="s">
        <v>17</v>
      </c>
    </row>
    <row r="1394" spans="1:24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H1394" t="str">
        <f t="shared" si="21"/>
        <v>End the half and give a team round point when a player makes a kill using the final weapon</v>
      </c>
      <c r="S1394" t="s">
        <v>12</v>
      </c>
      <c r="X1394" t="s">
        <v>17</v>
      </c>
    </row>
    <row r="1395" spans="1:24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H1395" t="str">
        <f t="shared" si="21"/>
        <v>Upgrade the player's weapon after this number of rounds without upgrading</v>
      </c>
      <c r="S1395" t="s">
        <v>12</v>
      </c>
      <c r="X1395" t="s">
        <v>17</v>
      </c>
    </row>
    <row r="1396" spans="1:24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H1396" t="str">
        <f t="shared" si="21"/>
        <v>Whether this map should spawn a c4 bomb for a player or not.</v>
      </c>
      <c r="S1396" t="s">
        <v>12</v>
      </c>
      <c r="X1396" t="s">
        <v>17</v>
      </c>
    </row>
    <row r="1397" spans="1:24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tr">
        <f t="shared" si="21"/>
        <v>If above 0, deal non-lethal damage to players over time.</v>
      </c>
      <c r="K1397" t="s">
        <v>4</v>
      </c>
      <c r="S1397" t="s">
        <v>12</v>
      </c>
    </row>
    <row r="1398" spans="1:24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  <c r="H1398" t="str">
        <f t="shared" si="21"/>
        <v>mp_guardian_add_bounds_pt</v>
      </c>
    </row>
    <row r="1399" spans="1:24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  <c r="H1399" t="str">
        <f t="shared" si="21"/>
        <v>mp_guardian_add_player_spawn_pt</v>
      </c>
    </row>
    <row r="1400" spans="1:24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tr">
        <f t="shared" si="21"/>
        <v>Adjust the guardian bots' difficulty every nth guardian wave when using behavior trees.</v>
      </c>
      <c r="K1400" t="s">
        <v>4</v>
      </c>
      <c r="S1400" t="s">
        <v>12</v>
      </c>
    </row>
    <row r="1401" spans="1:24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tr">
        <f t="shared" si="21"/>
        <v>Starting this round a difficulty cap will be applied to the bots.</v>
      </c>
      <c r="K1401" t="s">
        <v>4</v>
      </c>
      <c r="S1401" t="s">
        <v>12</v>
      </c>
    </row>
    <row r="1402" spans="1:24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tr">
        <f t="shared" si="21"/>
        <v>Starting difficulty level for the gardian bots.</v>
      </c>
      <c r="K1402" t="s">
        <v>4</v>
      </c>
      <c r="S1402" t="s">
        <v>12</v>
      </c>
    </row>
    <row r="1403" spans="1:24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tr">
        <f t="shared" si="21"/>
        <v>How many bots to increase difficulty per wave - this many easier bots will get harder.</v>
      </c>
      <c r="K1403" t="s">
        <v>4</v>
      </c>
      <c r="S1403" t="s">
        <v>12</v>
      </c>
    </row>
    <row r="1404" spans="1:24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tr">
        <f t="shared" si="21"/>
        <v>The amount of money bots get time each wave the players complete.  This # is absolute and not additive, the money is set to (th</v>
      </c>
      <c r="K1404" t="s">
        <v>4</v>
      </c>
      <c r="S1404" t="s">
        <v>12</v>
      </c>
    </row>
    <row r="1405" spans="1:24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  <c r="H1405" t="str">
        <f t="shared" si="21"/>
        <v>mp_guardian_clear_all_bounds</v>
      </c>
    </row>
    <row r="1406" spans="1:24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  <c r="H1406" t="str">
        <f t="shared" si="21"/>
        <v>mp_guardian_clear_all_player_spawns</v>
      </c>
    </row>
    <row r="1407" spans="1:24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  <c r="H1407" t="str">
        <f t="shared" si="21"/>
        <v>mp_guardian_emit_bounds_config</v>
      </c>
    </row>
    <row r="1408" spans="1:24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tr">
        <f t="shared" si="21"/>
        <v>Force bots to collect hostages after this amount of time if no enemy has been seen.</v>
      </c>
      <c r="K1408" t="s">
        <v>4</v>
      </c>
    </row>
    <row r="1409" spans="1:24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tr">
        <f t="shared" si="21"/>
        <v>If set guardian bots will be given grenades at the beginning of the wave.</v>
      </c>
      <c r="K1409" t="s">
        <v>4</v>
      </c>
    </row>
    <row r="1410" spans="1:24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H1410" t="str">
        <f t="shared" si="21"/>
        <v>Loc string token for instructions for this mission, otherwise default to kills with weapon.</v>
      </c>
      <c r="S1410" t="s">
        <v>12</v>
      </c>
      <c r="X1410" t="s">
        <v>17</v>
      </c>
    </row>
    <row r="1411" spans="1:24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H1411" t="str">
        <f t="shared" ref="H1411:H1474" si="22">IF(F1411="",E1411, F1411 &amp; " - Original Helptext: " &amp;E1411)</f>
        <v>Loc string token to use on hud for this mission, otherwise default to kills with weapon.</v>
      </c>
      <c r="S1411" t="s">
        <v>12</v>
      </c>
      <c r="X1411" t="s">
        <v>17</v>
      </c>
    </row>
    <row r="1412" spans="1:24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H1412" t="str">
        <f t="shared" si="22"/>
        <v>Override to weapon dialog var applied to UI</v>
      </c>
      <c r="S1412" t="s">
        <v>12</v>
      </c>
      <c r="X1412" t="s">
        <v>17</v>
      </c>
    </row>
    <row r="1413" spans="1:24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  <c r="H1413" t="str">
        <f t="shared" si="22"/>
        <v>mp_guardian_new_bounds</v>
      </c>
    </row>
    <row r="1414" spans="1:24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tr">
        <f t="shared" si="22"/>
        <v>The maximum distance a player is allowed to get from the bombsite before they're killed.</v>
      </c>
      <c r="K1414" t="s">
        <v>4</v>
      </c>
      <c r="S1414" t="s">
        <v>12</v>
      </c>
    </row>
    <row r="1415" spans="1:24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tr">
        <f t="shared" si="22"/>
        <v>The distance at which we start to warn a player when they are too far from the guarded bombsite.</v>
      </c>
      <c r="K1415" t="s">
        <v>4</v>
      </c>
      <c r="S1415" t="s">
        <v>12</v>
      </c>
    </row>
    <row r="1416" spans="1:24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  <c r="H1416" t="str">
        <f t="shared" si="22"/>
        <v>mp_guardian_shoot_point</v>
      </c>
    </row>
    <row r="1417" spans="1:24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tr">
        <f t="shared" si="22"/>
        <v>The number of kills needed with a specific weapon.</v>
      </c>
      <c r="K1417" t="s">
        <v>4</v>
      </c>
      <c r="S1417" t="s">
        <v>12</v>
      </c>
    </row>
    <row r="1418" spans="1:24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tr">
        <f t="shared" si="22"/>
        <v>The weapon that needs to be used to increment the kills needed to complete the mission.</v>
      </c>
      <c r="K1418" t="s">
        <v>4</v>
      </c>
      <c r="S1418" t="s">
        <v>12</v>
      </c>
    </row>
    <row r="1419" spans="1:24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tr">
        <f t="shared" si="22"/>
        <v>If set to the index of a bombsite, will cause random spawns to be only created near that site.</v>
      </c>
      <c r="K1419" t="s">
        <v>4</v>
      </c>
    </row>
    <row r="1420" spans="1:24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H1420" t="str">
        <f t="shared" si="22"/>
        <v>Determines whether the match switches sides in a halftime event.</v>
      </c>
      <c r="S1420" t="s">
        <v>12</v>
      </c>
      <c r="X1420" t="s">
        <v>17</v>
      </c>
    </row>
    <row r="1421" spans="1:24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H1421" t="str">
        <f t="shared" si="22"/>
        <v>Number of seconds that halftime lasts</v>
      </c>
      <c r="S1421" t="s">
        <v>12</v>
      </c>
      <c r="X1421" t="s">
        <v>17</v>
      </c>
    </row>
    <row r="1422" spans="1:24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H1422" t="str">
        <f t="shared" si="22"/>
        <v>Set to 1 to pause match after halftime countdown elapses. Match must be resumed by vote or admin.</v>
      </c>
      <c r="S1422" t="s">
        <v>12</v>
      </c>
      <c r="X1422" t="s">
        <v>17</v>
      </c>
    </row>
    <row r="1423" spans="1:24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H1423" t="str">
        <f t="shared" si="22"/>
        <v>Set to 1 to stay in halftime indefinitely. Set to 0 to resume the timer.</v>
      </c>
      <c r="S1423" t="s">
        <v>12</v>
      </c>
      <c r="X1423" t="s">
        <v>17</v>
      </c>
    </row>
    <row r="1424" spans="1:24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H1424" t="str">
        <f t="shared" si="22"/>
        <v>How much EXTRA aim punch will happen when a player wearing the assault suit gets when shot</v>
      </c>
      <c r="S1424" t="s">
        <v>12</v>
      </c>
      <c r="X1424" t="s">
        <v>17</v>
      </c>
    </row>
    <row r="1425" spans="1:24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H1425" t="str">
        <f t="shared" si="22"/>
        <v>Determines cooldown of purchase.</v>
      </c>
      <c r="S1425" t="s">
        <v>12</v>
      </c>
      <c r="X1425" t="s">
        <v>17</v>
      </c>
    </row>
    <row r="1426" spans="1:24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H1426" t="str">
        <f t="shared" si="22"/>
        <v>How fast a player wearing the heavy assault suit will draw their weapon (1.0 = normal speed, 0.5 = half speed)</v>
      </c>
      <c r="S1426" t="s">
        <v>12</v>
      </c>
      <c r="X1426" t="s">
        <v>17</v>
      </c>
    </row>
    <row r="1427" spans="1:24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H1427" t="str">
        <f t="shared" si="22"/>
        <v>The max speed of a player when they are wearing the heavy assault suit</v>
      </c>
      <c r="S1427" t="s">
        <v>12</v>
      </c>
      <c r="X1427" t="s">
        <v>17</v>
      </c>
    </row>
    <row r="1428" spans="1:24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H1428" t="str">
        <f t="shared" si="22"/>
        <v>How much damage should scale when the player wearing the heavy assault suit is shot (1.0 = no change, 0.5 = half damage)</v>
      </c>
      <c r="S1428" t="s">
        <v>12</v>
      </c>
      <c r="X1428" t="s">
        <v>17</v>
      </c>
    </row>
    <row r="1429" spans="1:24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tr">
        <f t="shared" si="22"/>
        <v>Maximum number of hostages to spawn.</v>
      </c>
      <c r="K1429" t="s">
        <v>4</v>
      </c>
      <c r="S1429" t="s">
        <v>12</v>
      </c>
    </row>
    <row r="1430" spans="1:24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H1430" t="str">
        <f t="shared" si="22"/>
        <v>Additional time added to round time if a hostage is reached by a CT.</v>
      </c>
      <c r="S1430" t="s">
        <v>12</v>
      </c>
      <c r="X1430" t="s">
        <v>17</v>
      </c>
    </row>
    <row r="1431" spans="1:24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tr">
        <f t="shared" si="22"/>
        <v>Default is 1.0, slow down hostages by setting this to &lt; 1.0.</v>
      </c>
      <c r="K1431" t="s">
        <v>4</v>
      </c>
      <c r="S1431" t="s">
        <v>12</v>
      </c>
    </row>
    <row r="1432" spans="1:24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tr">
        <f t="shared" si="22"/>
        <v>When enabled will consistently force the farthest hostages to spawn.</v>
      </c>
      <c r="K1432" t="s">
        <v>4</v>
      </c>
      <c r="S1432" t="s">
        <v>12</v>
      </c>
    </row>
    <row r="1433" spans="1:24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tr">
        <f t="shared" si="22"/>
        <v>Comma separated list of zero based indices to force spawn positions, e.g. '0,2' or '1,6'</v>
      </c>
      <c r="K1433" t="s">
        <v>4</v>
      </c>
      <c r="S1433" t="s">
        <v>12</v>
      </c>
    </row>
    <row r="1434" spans="1:24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tr">
        <f t="shared" si="22"/>
        <v>0 = spawn hostages randomly every round, 1 = same spawns for entire match.</v>
      </c>
      <c r="K1434" t="s">
        <v>4</v>
      </c>
      <c r="S1434" t="s">
        <v>12</v>
      </c>
    </row>
    <row r="1435" spans="1:24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H1435" t="str">
        <f t="shared" si="22"/>
        <v>Whether or not hostages can be hurt.</v>
      </c>
      <c r="S1435" t="s">
        <v>12</v>
      </c>
      <c r="X1435" t="s">
        <v>17</v>
      </c>
    </row>
    <row r="1436" spans="1:24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tr">
        <f t="shared" si="22"/>
        <v>Restricts human players to a single team {any, CT, T}</v>
      </c>
      <c r="K1436" t="s">
        <v>4</v>
      </c>
      <c r="S1436" t="s">
        <v>12</v>
      </c>
    </row>
    <row r="1437" spans="1:24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tr">
        <f t="shared" si="22"/>
        <v>Ignore conditions which would end the current round</v>
      </c>
      <c r="K1437" t="s">
        <v>4</v>
      </c>
      <c r="S1437" t="s">
        <v>12</v>
      </c>
    </row>
    <row r="1438" spans="1:24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H1438" t="str">
        <f t="shared" si="22"/>
        <v>Set this convar to a comma-delimited list of definition indices of weapons that should be prohibited from use.</v>
      </c>
      <c r="S1438" t="s">
        <v>12</v>
      </c>
      <c r="X1438" t="s">
        <v>17</v>
      </c>
    </row>
    <row r="1439" spans="1:24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H1439" t="str">
        <f t="shared" si="22"/>
        <v>Number of seconds after round start to allow a player to join a game</v>
      </c>
      <c r="S1439" t="s">
        <v>12</v>
      </c>
      <c r="X1439" t="s">
        <v>17</v>
      </c>
    </row>
    <row r="1440" spans="1:24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tr">
        <f t="shared" si="22"/>
        <v>Max # of players 1 team can have over another (0 disables check)</v>
      </c>
      <c r="K1440" t="s">
        <v>4</v>
      </c>
      <c r="N1440" t="s">
        <v>7</v>
      </c>
      <c r="S1440" t="s">
        <v>12</v>
      </c>
    </row>
    <row r="1441" spans="1:24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tr">
        <f t="shared" si="22"/>
        <v>Logs attacks.  Values are: 0=off, 1=enemy, 2=teammate, 3=both)</v>
      </c>
      <c r="K1441" t="s">
        <v>4</v>
      </c>
    </row>
    <row r="1442" spans="1:24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tr">
        <f t="shared" si="22"/>
        <v>Logs a line any time a player acquires or loses an item.</v>
      </c>
      <c r="K1442" t="s">
        <v>4</v>
      </c>
    </row>
    <row r="1443" spans="1:24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tr">
        <f t="shared" si="22"/>
        <v>Enables distance logging every so many units</v>
      </c>
      <c r="K1443" t="s">
        <v>4</v>
      </c>
    </row>
    <row r="1444" spans="1:24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tr">
        <f t="shared" si="22"/>
        <v>Enables distance logging every so many seconds</v>
      </c>
      <c r="K1444" t="s">
        <v>4</v>
      </c>
    </row>
    <row r="1445" spans="1:24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tr">
        <f t="shared" si="22"/>
        <v>Enables distance logging with full loadouts</v>
      </c>
      <c r="K1445" t="s">
        <v>4</v>
      </c>
    </row>
    <row r="1446" spans="1:24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tr">
        <f t="shared" si="22"/>
        <v>Enables money logging.  Values are: 0=off, 1=on</v>
      </c>
      <c r="K1446" t="s">
        <v>4</v>
      </c>
    </row>
    <row r="1447" spans="1:24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H1447" t="str">
        <f t="shared" si="22"/>
        <v>Can a team clinch and end the match by being so far ahead that the other team has no way to catching up?</v>
      </c>
      <c r="S1447" t="s">
        <v>12</v>
      </c>
      <c r="X1447" t="s">
        <v>17</v>
      </c>
    </row>
    <row r="1448" spans="1:24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H1448" t="str">
        <f t="shared" si="22"/>
        <v>At the end of the match, perform a changelevel even if next map is the same</v>
      </c>
      <c r="S1448" t="s">
        <v>12</v>
      </c>
      <c r="X1448" t="s">
        <v>17</v>
      </c>
    </row>
    <row r="1449" spans="1:24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H1449" t="str">
        <f t="shared" si="22"/>
        <v>At the end of the match, perform a restart instead of loading a new map</v>
      </c>
      <c r="S1449" t="s">
        <v>12</v>
      </c>
      <c r="X1449" t="s">
        <v>17</v>
      </c>
    </row>
    <row r="1450" spans="1:24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H1450" t="str">
        <f t="shared" si="22"/>
        <v>Time (in seconds) until a match restarts.</v>
      </c>
      <c r="S1450" t="s">
        <v>12</v>
      </c>
      <c r="X1450" t="s">
        <v>17</v>
      </c>
    </row>
    <row r="1451" spans="1:24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H1451" t="str">
        <f t="shared" si="22"/>
        <v>Determines the highest level of armor allowed to be purchased. (0) None, (1) Kevlar, (2) Helmet</v>
      </c>
      <c r="S1451" t="s">
        <v>12</v>
      </c>
      <c r="X1451" t="s">
        <v>17</v>
      </c>
    </row>
    <row r="1452" spans="1:24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H1452" t="str">
        <f t="shared" si="22"/>
        <v>maximum amount of money allowed in a player's account</v>
      </c>
      <c r="S1452" t="s">
        <v>12</v>
      </c>
      <c r="X1452" t="s">
        <v>17</v>
      </c>
    </row>
    <row r="1453" spans="1:24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H1453" t="str">
        <f t="shared" si="22"/>
        <v>max number of rounds to play before server changes maps</v>
      </c>
      <c r="N1453" t="s">
        <v>7</v>
      </c>
      <c r="S1453" t="s">
        <v>12</v>
      </c>
      <c r="X1453" t="s">
        <v>17</v>
      </c>
    </row>
    <row r="1454" spans="1:24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H1454" t="str">
        <f t="shared" si="22"/>
        <v>Number of seconds to delay before the molotov can be used after acquiring it</v>
      </c>
      <c r="S1454" t="s">
        <v>12</v>
      </c>
      <c r="X1454" t="s">
        <v>17</v>
      </c>
    </row>
    <row r="1455" spans="1:24" x14ac:dyDescent="0.25">
      <c r="A1455" t="s">
        <v>5251</v>
      </c>
      <c r="B1455" t="s">
        <v>5257</v>
      </c>
      <c r="C1455" t="s">
        <v>2368</v>
      </c>
      <c r="D1455">
        <v>1</v>
      </c>
      <c r="H1455">
        <f t="shared" si="22"/>
        <v>0</v>
      </c>
      <c r="K1455" t="s">
        <v>4</v>
      </c>
      <c r="S1455" t="s">
        <v>12</v>
      </c>
    </row>
    <row r="1456" spans="1:24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H1456" t="str">
        <f t="shared" si="22"/>
        <v>If a match ends in a tie, use overtime rules to determine winner</v>
      </c>
      <c r="S1456" t="s">
        <v>12</v>
      </c>
      <c r="X1456" t="s">
        <v>17</v>
      </c>
    </row>
    <row r="1457" spans="1:24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H1457" t="str">
        <f t="shared" si="22"/>
        <v>If set to 1 will set mp_halftime_pausetimer to 1 before every half of overtime. Set mp_halftime_pausetimer to 0 to resume the t</v>
      </c>
      <c r="S1457" t="s">
        <v>12</v>
      </c>
      <c r="X1457" t="s">
        <v>17</v>
      </c>
    </row>
    <row r="1458" spans="1:24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H1458" t="str">
        <f t="shared" si="22"/>
        <v>When overtime is enabled play additional rounds to determine winner</v>
      </c>
      <c r="S1458" t="s">
        <v>12</v>
      </c>
      <c r="X1458" t="s">
        <v>17</v>
      </c>
    </row>
    <row r="1459" spans="1:24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H1459" t="str">
        <f t="shared" si="22"/>
        <v>Money assigned to all players at start of every overtime half</v>
      </c>
      <c r="S1459" t="s">
        <v>12</v>
      </c>
      <c r="X1459" t="s">
        <v>17</v>
      </c>
    </row>
    <row r="1460" spans="1:24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  <c r="H1460" t="str">
        <f t="shared" si="22"/>
        <v>Pause the match in the next freeze time</v>
      </c>
    </row>
    <row r="1461" spans="1:24" x14ac:dyDescent="0.25">
      <c r="A1461" t="s">
        <v>5251</v>
      </c>
      <c r="B1461" t="s">
        <v>5257</v>
      </c>
      <c r="C1461" t="s">
        <v>2379</v>
      </c>
      <c r="D1461">
        <v>0</v>
      </c>
      <c r="H1461">
        <f t="shared" si="22"/>
        <v>0</v>
      </c>
      <c r="S1461" t="s">
        <v>12</v>
      </c>
      <c r="X1461" t="s">
        <v>17</v>
      </c>
    </row>
    <row r="1462" spans="1:24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H1462" t="str">
        <f t="shared" si="22"/>
        <v>Players can earn money by performing in-game actions</v>
      </c>
      <c r="S1462" t="s">
        <v>12</v>
      </c>
      <c r="X1462" t="s">
        <v>17</v>
      </c>
    </row>
    <row r="1463" spans="1:24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H1463" t="str">
        <f t="shared" si="22"/>
        <v>Controls what information player see in the status bar: 0 all names; 1 team names; 2 no names</v>
      </c>
      <c r="S1463" t="s">
        <v>12</v>
      </c>
      <c r="X1463" t="s">
        <v>17</v>
      </c>
    </row>
    <row r="1464" spans="1:24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H1464" t="str">
        <f t="shared" si="22"/>
        <v>Number of seconds to delay showing information in the status bar</v>
      </c>
      <c r="S1464" t="s">
        <v>12</v>
      </c>
      <c r="X1464" t="s">
        <v>17</v>
      </c>
    </row>
    <row r="1465" spans="1:24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H1465" t="str">
        <f t="shared" si="22"/>
        <v>Number of seconds to keep showing old information in the status bar</v>
      </c>
      <c r="S1465" t="s">
        <v>12</v>
      </c>
      <c r="X1465" t="s">
        <v>17</v>
      </c>
    </row>
    <row r="1466" spans="1:24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H1466" t="str">
        <f t="shared" si="22"/>
        <v>Determines who should see all. 0 = default. 1 = both teams. 2 = Terrorists. 3 = Counter-Terrorists.</v>
      </c>
      <c r="S1466" t="s">
        <v>12</v>
      </c>
      <c r="X1466" t="s">
        <v>17</v>
      </c>
    </row>
    <row r="1467" spans="1:24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H1467" t="str">
        <f t="shared" si="22"/>
        <v>Determines whether players are to spawn. 0 = default; 1 = both teams; 2 = Terrorists; 3 = CTs.</v>
      </c>
      <c r="S1467" t="s">
        <v>12</v>
      </c>
      <c r="X1467" t="s">
        <v>17</v>
      </c>
    </row>
    <row r="1468" spans="1:24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H1468" t="str">
        <f t="shared" si="22"/>
        <v>If using mp_randomspawn, determines whether to test distance when selecting this spot.</v>
      </c>
      <c r="S1468" t="s">
        <v>12</v>
      </c>
      <c r="X1468" t="s">
        <v>17</v>
      </c>
    </row>
    <row r="1469" spans="1:24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H1469" t="str">
        <f t="shared" si="22"/>
        <v>If using mp_randomspawn, determines whether to test Line of Sight when spawning.</v>
      </c>
      <c r="S1469" t="s">
        <v>12</v>
      </c>
      <c r="X1469" t="s">
        <v>17</v>
      </c>
    </row>
    <row r="1470" spans="1:24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tr">
        <f t="shared" si="22"/>
        <v>Whether guns must be +used to acquire or default is touch-to-pickup</v>
      </c>
      <c r="K1470" t="s">
        <v>4</v>
      </c>
    </row>
    <row r="1471" spans="1:24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H1471" t="str">
        <f t="shared" si="22"/>
        <v>How many seconds after respawn immunity lasts. Set to negative value to disable warmup immunity.</v>
      </c>
      <c r="S1471" t="s">
        <v>12</v>
      </c>
      <c r="X1471" t="s">
        <v>17</v>
      </c>
    </row>
    <row r="1472" spans="1:24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H1472" t="str">
        <f t="shared" si="22"/>
        <v>When set to 1, counter-terrorists will respawn after dying.</v>
      </c>
      <c r="S1472" t="s">
        <v>12</v>
      </c>
      <c r="X1472" t="s">
        <v>17</v>
      </c>
    </row>
    <row r="1473" spans="1:24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H1473" t="str">
        <f t="shared" si="22"/>
        <v>When set to 1, terrorists will respawn after dying.</v>
      </c>
      <c r="S1473" t="s">
        <v>12</v>
      </c>
      <c r="X1473" t="s">
        <v>17</v>
      </c>
    </row>
    <row r="1474" spans="1:24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H1474" t="str">
        <f t="shared" si="22"/>
        <v>Time between respawn waves for CTs.</v>
      </c>
      <c r="S1474" t="s">
        <v>12</v>
      </c>
      <c r="X1474" t="s">
        <v>17</v>
      </c>
    </row>
    <row r="1475" spans="1:24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H1475" t="str">
        <f t="shared" ref="H1475:H1538" si="23">IF(F1475="",E1475, F1475 &amp; " - Original Helptext: " &amp;E1475)</f>
        <v>Time between respawn waves for Terrorists.</v>
      </c>
      <c r="S1475" t="s">
        <v>12</v>
      </c>
      <c r="X1475" t="s">
        <v>17</v>
      </c>
    </row>
    <row r="1476" spans="1:24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tr">
        <f t="shared" si="23"/>
        <v>If non-zero, game will restart in the specified number of seconds</v>
      </c>
      <c r="K1476" t="s">
        <v>4</v>
      </c>
    </row>
    <row r="1477" spans="1:24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H1477" t="str">
        <f t="shared" si="23"/>
        <v>Number of CT's when playing retakes.</v>
      </c>
      <c r="S1477" t="s">
        <v>12</v>
      </c>
      <c r="X1477" t="s">
        <v>17</v>
      </c>
    </row>
    <row r="1478" spans="1:24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H1478" t="str">
        <f t="shared" si="23"/>
        <v>CT bonus card for full buy round when playing bomb site retake.</v>
      </c>
      <c r="S1478" t="s">
        <v>12</v>
      </c>
      <c r="X1478" t="s">
        <v>17</v>
      </c>
    </row>
    <row r="1479" spans="1:24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H1479" t="str">
        <f t="shared" si="23"/>
        <v>CT bonus card availability pattern for full buy round when playing bomb site retake.</v>
      </c>
      <c r="S1479" t="s">
        <v>12</v>
      </c>
      <c r="X1479" t="s">
        <v>17</v>
      </c>
    </row>
    <row r="1480" spans="1:24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H1480" t="str">
        <f t="shared" si="23"/>
        <v>CT Loadouts for default pistol round when playing bomb site retake.</v>
      </c>
      <c r="S1480" t="s">
        <v>12</v>
      </c>
      <c r="X1480" t="s">
        <v>17</v>
      </c>
    </row>
    <row r="1481" spans="1:24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H1481" t="str">
        <f t="shared" si="23"/>
        <v>CT enemy card for full buy round when playing bomb site retake.</v>
      </c>
      <c r="S1481" t="s">
        <v>12</v>
      </c>
      <c r="X1481" t="s">
        <v>17</v>
      </c>
    </row>
    <row r="1482" spans="1:24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H1482" t="str">
        <f t="shared" si="23"/>
        <v>CT Loadouts for full buy round when playing bomb site retake.</v>
      </c>
      <c r="S1482" t="s">
        <v>12</v>
      </c>
      <c r="X1482" t="s">
        <v>17</v>
      </c>
    </row>
    <row r="1483" spans="1:24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H1483" t="str">
        <f t="shared" si="23"/>
        <v>CT Loadouts for force buy round when playing bomb site retake.</v>
      </c>
      <c r="S1483" t="s">
        <v>12</v>
      </c>
      <c r="X1483" t="s">
        <v>17</v>
      </c>
    </row>
    <row r="1484" spans="1:24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H1484" t="str">
        <f t="shared" si="23"/>
        <v>CT Loadouts for upgraded pistol round when playing bomb site retake.</v>
      </c>
      <c r="S1484" t="s">
        <v>12</v>
      </c>
      <c r="X1484" t="s">
        <v>17</v>
      </c>
    </row>
    <row r="1485" spans="1:24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H1485" t="str">
        <f t="shared" si="23"/>
        <v>Limit the number of consecutive rounds targeting the same site.</v>
      </c>
      <c r="S1485" t="s">
        <v>12</v>
      </c>
      <c r="X1485" t="s">
        <v>17</v>
      </c>
    </row>
    <row r="1486" spans="1:24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H1486" t="str">
        <f t="shared" si="23"/>
        <v>Number of terrorists when playing retakes.</v>
      </c>
      <c r="S1486" t="s">
        <v>12</v>
      </c>
      <c r="X1486" t="s">
        <v>17</v>
      </c>
    </row>
    <row r="1487" spans="1:24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H1487" t="str">
        <f t="shared" si="23"/>
        <v>T bonus card for full buy round when playing bomb site retake.</v>
      </c>
      <c r="S1487" t="s">
        <v>12</v>
      </c>
      <c r="X1487" t="s">
        <v>17</v>
      </c>
    </row>
    <row r="1488" spans="1:24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H1488" t="str">
        <f t="shared" si="23"/>
        <v>T bonus card availability pattern for full buy round when playing bomb site retake.</v>
      </c>
      <c r="S1488" t="s">
        <v>12</v>
      </c>
      <c r="X1488" t="s">
        <v>17</v>
      </c>
    </row>
    <row r="1489" spans="1:24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H1489" t="str">
        <f t="shared" si="23"/>
        <v>T Loadouts for default pistol round when playing bomb site retake.</v>
      </c>
      <c r="S1489" t="s">
        <v>12</v>
      </c>
      <c r="X1489" t="s">
        <v>17</v>
      </c>
    </row>
    <row r="1490" spans="1:24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H1490" t="str">
        <f t="shared" si="23"/>
        <v>T enemy card for full buy round when playing bomb site retake.</v>
      </c>
      <c r="S1490" t="s">
        <v>12</v>
      </c>
      <c r="X1490" t="s">
        <v>17</v>
      </c>
    </row>
    <row r="1491" spans="1:24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H1491" t="str">
        <f t="shared" si="23"/>
        <v>T Loadouts for full buy round when playing bomb site retake.</v>
      </c>
      <c r="S1491" t="s">
        <v>12</v>
      </c>
      <c r="X1491" t="s">
        <v>17</v>
      </c>
    </row>
    <row r="1492" spans="1:24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H1492" t="str">
        <f t="shared" si="23"/>
        <v>T Loadouts for force buy round when playing bomb site retake.</v>
      </c>
      <c r="S1492" t="s">
        <v>12</v>
      </c>
      <c r="X1492" t="s">
        <v>17</v>
      </c>
    </row>
    <row r="1493" spans="1:24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H1493" t="str">
        <f t="shared" si="23"/>
        <v>T Loadouts for upgraded pistol round when playing bomb site retake.</v>
      </c>
      <c r="S1493" t="s">
        <v>12</v>
      </c>
      <c r="X1493" t="s">
        <v>17</v>
      </c>
    </row>
    <row r="1494" spans="1:24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H1494" t="str">
        <f t="shared" si="23"/>
        <v>Number of seconds to delay before restarting a round after a win</v>
      </c>
      <c r="S1494" t="s">
        <v>12</v>
      </c>
      <c r="X1494" t="s">
        <v>17</v>
      </c>
    </row>
    <row r="1495" spans="1:24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tr">
        <f t="shared" si="23"/>
        <v>How many minutes each round takes.</v>
      </c>
      <c r="K1495" t="s">
        <v>4</v>
      </c>
      <c r="N1495" t="s">
        <v>7</v>
      </c>
      <c r="S1495" t="s">
        <v>12</v>
      </c>
    </row>
    <row r="1496" spans="1:24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tr">
        <f t="shared" si="23"/>
        <v>How many minutes each round of Bomb Defuse takes. If 0 then use mp_roundtime instead.</v>
      </c>
      <c r="K1496" t="s">
        <v>4</v>
      </c>
      <c r="N1496" t="s">
        <v>7</v>
      </c>
      <c r="S1496" t="s">
        <v>12</v>
      </c>
    </row>
    <row r="1497" spans="1:24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tr">
        <f t="shared" si="23"/>
        <v>How many minutes deployment for coop mission takes.</v>
      </c>
      <c r="K1497" t="s">
        <v>4</v>
      </c>
    </row>
    <row r="1498" spans="1:24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tr">
        <f t="shared" si="23"/>
        <v>How many minutes each round of Hostage Rescue takes. If 0 then use mp_roundtime instead.</v>
      </c>
      <c r="K1498" t="s">
        <v>4</v>
      </c>
      <c r="N1498" t="s">
        <v>7</v>
      </c>
      <c r="S1498" t="s">
        <v>12</v>
      </c>
    </row>
    <row r="1499" spans="1:24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  <c r="H1499" t="str">
        <f t="shared" si="23"/>
        <v>Scramble the teams and restart the game</v>
      </c>
    </row>
    <row r="1500" spans="1:24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H1500" t="str">
        <f t="shared" si="23"/>
        <v>The max speed of a player when they have a shield deployed</v>
      </c>
      <c r="S1500" t="s">
        <v>12</v>
      </c>
      <c r="X1500" t="s">
        <v>17</v>
      </c>
    </row>
    <row r="1501" spans="1:24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H1501" t="str">
        <f t="shared" si="23"/>
        <v>The max speed of a player when they have a shield holstered</v>
      </c>
      <c r="S1501" t="s">
        <v>12</v>
      </c>
      <c r="X1501" t="s">
        <v>17</v>
      </c>
    </row>
    <row r="1502" spans="1:24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H1502" t="str">
        <f t="shared" si="23"/>
        <v>How solid are teammates: 0 = transparent; 1 = fully solid; 2 = can stand on top of heads</v>
      </c>
      <c r="S1502" t="s">
        <v>12</v>
      </c>
      <c r="X1502" t="s">
        <v>17</v>
      </c>
    </row>
    <row r="1503" spans="1:24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tr">
        <f t="shared" si="23"/>
        <v>Kick players who team-kill within this many seconds of a round restart.</v>
      </c>
      <c r="K1503" t="s">
        <v>4</v>
      </c>
      <c r="S1503" t="s">
        <v>12</v>
      </c>
    </row>
    <row r="1504" spans="1:24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H1504" t="str">
        <f t="shared" si="23"/>
        <v>Toggle set the player names and team names to the opposite side in which they are are on the spectator panel.</v>
      </c>
      <c r="S1504" t="s">
        <v>12</v>
      </c>
      <c r="X1504" t="s">
        <v>17</v>
      </c>
    </row>
    <row r="1505" spans="1:24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H1505" t="str">
        <f t="shared" si="23"/>
        <v>How many spectators are allowed in a match.</v>
      </c>
      <c r="S1505" t="s">
        <v>12</v>
      </c>
      <c r="X1505" t="s">
        <v>17</v>
      </c>
    </row>
    <row r="1506" spans="1:24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tr">
        <f t="shared" si="23"/>
        <v>Determines what the initial loss streak is.</v>
      </c>
      <c r="K1506" t="s">
        <v>4</v>
      </c>
      <c r="S1506" t="s">
        <v>12</v>
      </c>
    </row>
    <row r="1507" spans="1:24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H1507" t="str">
        <f t="shared" si="23"/>
        <v>amount of money each player gets when they reset</v>
      </c>
      <c r="S1507" t="s">
        <v>12</v>
      </c>
      <c r="X1507" t="s">
        <v>17</v>
      </c>
    </row>
    <row r="1508" spans="1:24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tr">
        <f t="shared" si="23"/>
        <v>Punish players for suicides</v>
      </c>
      <c r="K1508" t="s">
        <v>4</v>
      </c>
    </row>
    <row r="1509" spans="1:24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tr">
        <f t="shared" si="23"/>
        <v>Specifies number of seconds required to wait before another suicide.</v>
      </c>
      <c r="K1509" t="s">
        <v>4</v>
      </c>
      <c r="L1509" t="s">
        <v>5</v>
      </c>
      <c r="S1509" t="s">
        <v>12</v>
      </c>
    </row>
    <row r="1510" spans="1:24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  <c r="H1510" t="str">
        <f t="shared" si="23"/>
        <v>Swap the teams and restart the game</v>
      </c>
    </row>
    <row r="1511" spans="1:24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  <c r="H1511" t="str">
        <f t="shared" si="23"/>
        <v>Switch teams and restart the game</v>
      </c>
    </row>
    <row r="1512" spans="1:24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H1512" t="str">
        <f t="shared" si="23"/>
        <v>The default grenades that the Ts will spawn with.  To give multiple grenades, separate each weapon class with a space like this</v>
      </c>
      <c r="S1512" t="s">
        <v>12</v>
      </c>
      <c r="X1512" t="s">
        <v>17</v>
      </c>
    </row>
    <row r="1513" spans="1:24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H1513" t="str">
        <f t="shared" si="23"/>
        <v>The default melee weapon that the Ts will spawn with</v>
      </c>
      <c r="S1513" t="s">
        <v>12</v>
      </c>
      <c r="X1513" t="s">
        <v>17</v>
      </c>
    </row>
    <row r="1514" spans="1:24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H1514" t="str">
        <f t="shared" si="23"/>
        <v>The default primary (rifle) weapon that the Ts will spawn with</v>
      </c>
      <c r="S1514" t="s">
        <v>12</v>
      </c>
      <c r="X1514" t="s">
        <v>17</v>
      </c>
    </row>
    <row r="1515" spans="1:24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H1515" t="str">
        <f t="shared" si="23"/>
        <v>The default secondary (pistol) weapon that the Ts will spawn with</v>
      </c>
      <c r="S1515" t="s">
        <v>12</v>
      </c>
      <c r="X1515" t="s">
        <v>17</v>
      </c>
    </row>
    <row r="1516" spans="1:24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tr">
        <f t="shared" si="23"/>
        <v>Scalar for player tagging modifier when hit. Lower values for greater tagging.</v>
      </c>
      <c r="K1516" t="s">
        <v>4</v>
      </c>
      <c r="S1516" t="s">
        <v>12</v>
      </c>
    </row>
    <row r="1517" spans="1:24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H1517" t="str">
        <f t="shared" si="23"/>
        <v>Determines recharge time for taser. -1 = disabled.</v>
      </c>
      <c r="S1517" t="s">
        <v>12</v>
      </c>
      <c r="X1517" t="s">
        <v>17</v>
      </c>
    </row>
    <row r="1518" spans="1:24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tr">
        <f t="shared" si="23"/>
        <v>The damage threshhold players have to exceed in a match to get kicked.</v>
      </c>
      <c r="K1518" t="s">
        <v>4</v>
      </c>
      <c r="S1518" t="s">
        <v>12</v>
      </c>
    </row>
    <row r="1519" spans="1:24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tr">
        <f t="shared" si="23"/>
        <v>The damage threshhold players have to exceed in a match to get warned that they are about to be kicked.</v>
      </c>
      <c r="K1519" t="s">
        <v>4</v>
      </c>
      <c r="S1519" t="s">
        <v>12</v>
      </c>
    </row>
    <row r="1520" spans="1:24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tr">
        <f t="shared" si="23"/>
        <v>The damage threshold players have to exceed at the start of the round to be warned/kick.</v>
      </c>
      <c r="K1520" t="s">
        <v>4</v>
      </c>
      <c r="S1520" t="s">
        <v>12</v>
      </c>
    </row>
    <row r="1521" spans="1:24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H1521" t="str">
        <f t="shared" si="23"/>
        <v>Grant healthshots in team deathmatch after n kills</v>
      </c>
      <c r="S1521" t="s">
        <v>12</v>
      </c>
      <c r="X1521" t="s">
        <v>17</v>
      </c>
    </row>
    <row r="1522" spans="1:24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tr">
        <f t="shared" si="23"/>
        <v>Number of timeouts each team gets per match.</v>
      </c>
      <c r="K1522" t="s">
        <v>4</v>
      </c>
      <c r="S1522" t="s">
        <v>12</v>
      </c>
      <c r="X1522" t="s">
        <v>17</v>
      </c>
    </row>
    <row r="1523" spans="1:24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tr">
        <f t="shared" si="23"/>
        <v>Duration of each timeout.</v>
      </c>
      <c r="K1523" t="s">
        <v>4</v>
      </c>
      <c r="S1523" t="s">
        <v>12</v>
      </c>
      <c r="X1523" t="s">
        <v>17</v>
      </c>
    </row>
    <row r="1524" spans="1:24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H1524" t="str">
        <f t="shared" si="23"/>
        <v>Teams can earn money by performing in-game actions</v>
      </c>
      <c r="S1524" t="s">
        <v>12</v>
      </c>
      <c r="X1524" t="s">
        <v>17</v>
      </c>
    </row>
    <row r="1525" spans="1:24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tr">
        <f t="shared" si="23"/>
        <v>Enter a country's alpha 2 code to show that flag next to team 1's name in the spectator scoreboard.</v>
      </c>
      <c r="K1525" t="s">
        <v>4</v>
      </c>
    </row>
    <row r="1526" spans="1:24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tr">
        <f t="shared" si="23"/>
        <v>Enter a country's alpha 2 code to show that flag next to team 2's name in the spectator scoreboard.</v>
      </c>
      <c r="K1526" t="s">
        <v>4</v>
      </c>
    </row>
    <row r="1527" spans="1:24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tr">
        <f t="shared" si="23"/>
        <v>Enter a team's shorthand image name to display their logo. Images can be found here: 'resource/flash/econ/tournaments/teams'</v>
      </c>
      <c r="K1527" t="s">
        <v>4</v>
      </c>
    </row>
    <row r="1528" spans="1:24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tr">
        <f t="shared" si="23"/>
        <v>Enter a team's shorthand image name to display their logo. Images can be found here: 'resource/flash/econ/tournaments/teams'</v>
      </c>
      <c r="K1528" t="s">
        <v>4</v>
      </c>
    </row>
    <row r="1529" spans="1:24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tr">
        <f t="shared" si="23"/>
        <v>A non-empty string sets first team's match stat.</v>
      </c>
      <c r="K1529" t="s">
        <v>4</v>
      </c>
    </row>
    <row r="1530" spans="1:24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tr">
        <f t="shared" si="23"/>
        <v>A non-empty string sets second team's match stat.</v>
      </c>
      <c r="K1530" t="s">
        <v>4</v>
      </c>
    </row>
    <row r="1531" spans="1:24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tr">
        <f t="shared" si="23"/>
        <v>Cycle match stats after so many seconds</v>
      </c>
      <c r="K1531" t="s">
        <v>4</v>
      </c>
    </row>
    <row r="1532" spans="1:24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tr">
        <f t="shared" si="23"/>
        <v>Decide on a match stat and hold it additionally for at least so many seconds</v>
      </c>
      <c r="K1532" t="s">
        <v>4</v>
      </c>
    </row>
    <row r="1533" spans="1:24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tr">
        <f t="shared" si="23"/>
        <v>A non-empty string sets the match stat description, e.g. 'Match 2 of 3'.</v>
      </c>
      <c r="K1533" t="s">
        <v>4</v>
      </c>
    </row>
    <row r="1534" spans="1:24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H1534" t="str">
        <f t="shared" si="23"/>
        <v>When set, your teammates act as enemies and all players are valid targets.</v>
      </c>
      <c r="N1534" t="s">
        <v>7</v>
      </c>
      <c r="S1534" t="s">
        <v>12</v>
      </c>
      <c r="X1534" t="s">
        <v>17</v>
      </c>
    </row>
    <row r="1535" spans="1:24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tr">
        <f t="shared" si="23"/>
        <v>A non-empty string overrides the first team's name.</v>
      </c>
      <c r="K1535" t="s">
        <v>4</v>
      </c>
    </row>
    <row r="1536" spans="1:24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tr">
        <f t="shared" si="23"/>
        <v>A non-empty string overrides the second team's name.</v>
      </c>
      <c r="K1536" t="s">
        <v>4</v>
      </c>
    </row>
    <row r="1537" spans="1:24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tr">
        <f t="shared" si="23"/>
        <v>A value between 1 and 99 will show predictions in favor of CT team.</v>
      </c>
      <c r="K1537" t="s">
        <v>4</v>
      </c>
    </row>
    <row r="1538" spans="1:24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tr">
        <f t="shared" si="23"/>
        <v>A value between 1 and 99 will set predictions in favor of first team.</v>
      </c>
      <c r="K1538" t="s">
        <v>4</v>
      </c>
    </row>
    <row r="1539" spans="1:24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tr">
        <f t="shared" ref="H1539:H1602" si="24">IF(F1539="",E1539, F1539 &amp; " - Original Helptext: " &amp;E1539)</f>
        <v>A non-empty string for best-of-N maps won by the first team.</v>
      </c>
      <c r="K1539" t="s">
        <v>4</v>
      </c>
    </row>
    <row r="1540" spans="1:24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tr">
        <f t="shared" si="24"/>
        <v>A non-empty string for best-of-N maps won by the second team.</v>
      </c>
      <c r="K1540" t="s">
        <v>4</v>
      </c>
    </row>
    <row r="1541" spans="1:24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tr">
        <f t="shared" si="24"/>
        <v>How many maps to win the series (bo3 max=2; bo5 max=3; bo7 max=4)</v>
      </c>
      <c r="K1541" t="s">
        <v>4</v>
      </c>
    </row>
    <row r="1542" spans="1:24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H1542" t="str">
        <f t="shared" si="24"/>
        <v>game time per map in minutes</v>
      </c>
      <c r="N1542" t="s">
        <v>7</v>
      </c>
      <c r="S1542" t="s">
        <v>12</v>
      </c>
      <c r="X1542" t="s">
        <v>17</v>
      </c>
    </row>
    <row r="1543" spans="1:24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tr">
        <f t="shared" si="24"/>
        <v>Will TK'ers and team damagers be punished in the next round?  {0=no,  1=yes}</v>
      </c>
      <c r="K1543" t="s">
        <v>4</v>
      </c>
      <c r="S1543" t="s">
        <v>12</v>
      </c>
    </row>
    <row r="1544" spans="1:24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  <c r="H1544" t="str">
        <f t="shared" si="24"/>
        <v>Restart Tournament Mode on the current level.</v>
      </c>
    </row>
    <row r="1545" spans="1:24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  <c r="H1545" t="str">
        <f t="shared" si="24"/>
        <v>Resume the match</v>
      </c>
    </row>
    <row r="1546" spans="1:24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H1546" t="str">
        <f t="shared" si="24"/>
        <v>When set to 1, and that player's team is set to respawn, they will respawn in waves. If set to 2, teams will respawn when the w</v>
      </c>
      <c r="S1546" t="s">
        <v>12</v>
      </c>
      <c r="X1546" t="s">
        <v>17</v>
      </c>
    </row>
    <row r="1547" spans="1:24" x14ac:dyDescent="0.25">
      <c r="A1547" t="s">
        <v>5251</v>
      </c>
      <c r="B1547" t="s">
        <v>5257</v>
      </c>
      <c r="C1547" t="s">
        <v>2548</v>
      </c>
      <c r="D1547">
        <v>1</v>
      </c>
      <c r="H1547">
        <f t="shared" si="24"/>
        <v>0</v>
      </c>
      <c r="X1547" t="s">
        <v>17</v>
      </c>
    </row>
    <row r="1548" spans="1:24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  <c r="H1548" t="str">
        <f t="shared" si="24"/>
        <v>End warmup immediately.</v>
      </c>
    </row>
    <row r="1549" spans="1:24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H1549" t="str">
        <f t="shared" si="24"/>
        <v>Set to 1 to stay in warmup indefinitely. Set to 0 to resume the timer.</v>
      </c>
      <c r="S1549" t="s">
        <v>12</v>
      </c>
      <c r="X1549" t="s">
        <v>17</v>
      </c>
    </row>
    <row r="1550" spans="1:24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  <c r="H1550" t="str">
        <f t="shared" si="24"/>
        <v>Start warmup.</v>
      </c>
    </row>
    <row r="1551" spans="1:24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H1551" t="str">
        <f t="shared" si="24"/>
        <v>How long the warmup period lasts. Changing this value resets warmup.</v>
      </c>
      <c r="S1551" t="s">
        <v>12</v>
      </c>
      <c r="X1551" t="s">
        <v>17</v>
      </c>
    </row>
    <row r="1552" spans="1:24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H1552" t="str">
        <f t="shared" si="24"/>
        <v>Warmup time to use when all players have connected. 0 to disable.</v>
      </c>
      <c r="S1552" t="s">
        <v>12</v>
      </c>
      <c r="X1552" t="s">
        <v>17</v>
      </c>
    </row>
    <row r="1553" spans="1:24" x14ac:dyDescent="0.25">
      <c r="A1553" t="s">
        <v>5251</v>
      </c>
      <c r="B1553" t="s">
        <v>5257</v>
      </c>
      <c r="C1553" t="s">
        <v>2559</v>
      </c>
      <c r="D1553">
        <v>5</v>
      </c>
      <c r="H1553">
        <f t="shared" si="24"/>
        <v>0</v>
      </c>
      <c r="K1553" t="s">
        <v>4</v>
      </c>
      <c r="L1553" t="s">
        <v>5</v>
      </c>
    </row>
    <row r="1554" spans="1:24" x14ac:dyDescent="0.25">
      <c r="A1554" t="s">
        <v>5251</v>
      </c>
      <c r="B1554" t="s">
        <v>5257</v>
      </c>
      <c r="C1554" t="s">
        <v>2560</v>
      </c>
      <c r="D1554">
        <v>1</v>
      </c>
      <c r="H1554">
        <f t="shared" si="24"/>
        <v>0</v>
      </c>
      <c r="K1554" t="s">
        <v>4</v>
      </c>
      <c r="L1554" t="s">
        <v>5</v>
      </c>
    </row>
    <row r="1555" spans="1:24" x14ac:dyDescent="0.25">
      <c r="A1555" t="s">
        <v>5251</v>
      </c>
      <c r="B1555" t="s">
        <v>5257</v>
      </c>
      <c r="C1555" t="s">
        <v>2561</v>
      </c>
      <c r="D1555">
        <v>1</v>
      </c>
      <c r="H1555">
        <f t="shared" si="24"/>
        <v>0</v>
      </c>
      <c r="K1555" t="s">
        <v>4</v>
      </c>
      <c r="L1555" t="s">
        <v>5</v>
      </c>
    </row>
    <row r="1556" spans="1:24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tr">
        <f t="shared" si="24"/>
        <v>If Set to non-0, will hurt the attacker by the specified fraction of max damage if they miss.</v>
      </c>
      <c r="K1556" t="s">
        <v>4</v>
      </c>
      <c r="S1556" t="s">
        <v>12</v>
      </c>
    </row>
    <row r="1557" spans="1:24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H1557" t="str">
        <f t="shared" si="24"/>
        <v>Determines which team, if any, can purchase Heavy guns. -1 = any; 0 = non; 2 = Ts; 3 = CTs.</v>
      </c>
      <c r="S1557" t="s">
        <v>12</v>
      </c>
      <c r="X1557" t="s">
        <v>17</v>
      </c>
    </row>
    <row r="1558" spans="1:24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H1558" t="str">
        <f t="shared" si="24"/>
        <v>Determines whether heavyassaultsuit is permitted.</v>
      </c>
      <c r="S1558" t="s">
        <v>12</v>
      </c>
      <c r="X1558" t="s">
        <v>17</v>
      </c>
    </row>
    <row r="1559" spans="1:24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H1559" t="str">
        <f t="shared" si="24"/>
        <v>If this convar is set, when a match starts, the game will not delete weapons placed in the map.</v>
      </c>
      <c r="S1559" t="s">
        <v>12</v>
      </c>
      <c r="X1559" t="s">
        <v>17</v>
      </c>
    </row>
    <row r="1560" spans="1:24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H1560" t="str">
        <f t="shared" si="24"/>
        <v>Determines which team, if any, can purchase Pistols. -1 = any; 0 = non; 2 = Ts; 3 = CTs.</v>
      </c>
      <c r="S1560" t="s">
        <v>12</v>
      </c>
      <c r="X1560" t="s">
        <v>17</v>
      </c>
    </row>
    <row r="1561" spans="1:24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H1561" t="str">
        <f t="shared" si="24"/>
        <v>Determines which team, if any, can purchase Rifles. -1 = any; 0 = non; 2 = Ts; 3 = CTs.</v>
      </c>
      <c r="S1561" t="s">
        <v>12</v>
      </c>
      <c r="X1561" t="s">
        <v>17</v>
      </c>
    </row>
    <row r="1562" spans="1:24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H1562" t="str">
        <f t="shared" si="24"/>
        <v>Determines which team, if any, can purchase SMGs. -1 = any; 0 = non; 2 = Ts; 3 = CTs.</v>
      </c>
      <c r="S1562" t="s">
        <v>12</v>
      </c>
      <c r="X1562" t="s">
        <v>17</v>
      </c>
    </row>
    <row r="1563" spans="1:24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H1563" t="str">
        <f t="shared" si="24"/>
        <v>Determines how many purchases of each weapon type allowed per player per round (0 to disallow purchasing, -1 to have no limit).</v>
      </c>
      <c r="S1563" t="s">
        <v>12</v>
      </c>
      <c r="X1563" t="s">
        <v>17</v>
      </c>
    </row>
    <row r="1564" spans="1:24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H1564" t="str">
        <f t="shared" si="24"/>
        <v>Determines how many Zeus purchases a player can make per round (0 to disallow, -1 to have no limit).</v>
      </c>
      <c r="S1564" t="s">
        <v>12</v>
      </c>
      <c r="X1564" t="s">
        <v>17</v>
      </c>
    </row>
    <row r="1565" spans="1:24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H1565" t="str">
        <f t="shared" si="24"/>
        <v>If this convar is set, weapons on the ground will have a glow around them.</v>
      </c>
      <c r="S1565" t="s">
        <v>12</v>
      </c>
      <c r="X1565" t="s">
        <v>17</v>
      </c>
    </row>
    <row r="1566" spans="1:24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tr">
        <f t="shared" si="24"/>
        <v>Max number of times a player may purchase any weapon per match</v>
      </c>
      <c r="K1566" t="s">
        <v>4</v>
      </c>
      <c r="S1566" t="s">
        <v>12</v>
      </c>
      <c r="X1566" t="s">
        <v>17</v>
      </c>
    </row>
    <row r="1567" spans="1:24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H1567" t="str">
        <f t="shared" si="24"/>
        <v>The amount of time to show the win panel between matches / halfs</v>
      </c>
      <c r="S1567" t="s">
        <v>12</v>
      </c>
      <c r="X1567" t="s">
        <v>17</v>
      </c>
    </row>
    <row r="1568" spans="1:24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  <c r="H1568" t="str">
        <f t="shared" si="24"/>
        <v>Prints a dump the current players property data</v>
      </c>
    </row>
    <row r="1569" spans="1:25" x14ac:dyDescent="0.25">
      <c r="A1569" t="s">
        <v>5251</v>
      </c>
      <c r="C1569" t="s">
        <v>2588</v>
      </c>
      <c r="D1569" t="s">
        <v>25</v>
      </c>
      <c r="E1569" t="s">
        <v>2589</v>
      </c>
      <c r="H1569" t="str">
        <f t="shared" si="24"/>
        <v>Multiply specified convar value.</v>
      </c>
    </row>
    <row r="1570" spans="1:25" x14ac:dyDescent="0.25">
      <c r="A1570" t="s">
        <v>5251</v>
      </c>
      <c r="C1570" t="s">
        <v>2590</v>
      </c>
      <c r="D1570">
        <v>1</v>
      </c>
      <c r="H1570">
        <f t="shared" si="24"/>
        <v>0</v>
      </c>
      <c r="I1570" t="s">
        <v>2</v>
      </c>
      <c r="X1570" t="s">
        <v>17</v>
      </c>
    </row>
    <row r="1571" spans="1:25" x14ac:dyDescent="0.25">
      <c r="A1571" t="s">
        <v>5251</v>
      </c>
      <c r="C1571" t="s">
        <v>2591</v>
      </c>
      <c r="D1571">
        <v>0</v>
      </c>
      <c r="E1571" t="s">
        <v>2592</v>
      </c>
      <c r="H1571" t="str">
        <f t="shared" si="24"/>
        <v>Current user name</v>
      </c>
      <c r="I1571" t="s">
        <v>2</v>
      </c>
      <c r="M1571" t="s">
        <v>6</v>
      </c>
      <c r="P1571" t="s">
        <v>9</v>
      </c>
      <c r="V1571" t="s">
        <v>15</v>
      </c>
      <c r="Y1571" t="s">
        <v>18</v>
      </c>
    </row>
    <row r="1572" spans="1:25" x14ac:dyDescent="0.25">
      <c r="A1572" t="s">
        <v>5251</v>
      </c>
      <c r="C1572" t="s">
        <v>2593</v>
      </c>
      <c r="D1572" t="s">
        <v>25</v>
      </c>
      <c r="E1572" t="s">
        <v>2594</v>
      </c>
      <c r="H1572" t="str">
        <f t="shared" si="24"/>
        <v>Add current area to the selected set.</v>
      </c>
    </row>
    <row r="1573" spans="1:25" x14ac:dyDescent="0.25">
      <c r="A1573" t="s">
        <v>5251</v>
      </c>
      <c r="C1573" t="s">
        <v>2595</v>
      </c>
      <c r="D1573" t="s">
        <v>25</v>
      </c>
      <c r="E1573" t="s">
        <v>2596</v>
      </c>
      <c r="H1573" t="str">
        <f t="shared" si="24"/>
        <v>Add specified area id to the selected set.</v>
      </c>
    </row>
    <row r="1574" spans="1:25" x14ac:dyDescent="0.25">
      <c r="A1574" t="s">
        <v>5251</v>
      </c>
      <c r="C1574" t="s">
        <v>2597</v>
      </c>
      <c r="D1574" t="s">
        <v>25</v>
      </c>
      <c r="E1574" t="s">
        <v>2598</v>
      </c>
      <c r="H1574" t="str">
        <f t="shared" si="24"/>
        <v>Re-analyze the current Navigation Mesh and save it to disk.</v>
      </c>
    </row>
    <row r="1575" spans="1:25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tr">
        <f t="shared" si="24"/>
        <v>RGBA color to draw as the background color for nav areas while editing.</v>
      </c>
      <c r="K1575" t="s">
        <v>4</v>
      </c>
      <c r="L1575" t="s">
        <v>5</v>
      </c>
    </row>
    <row r="1576" spans="1:25" x14ac:dyDescent="0.25">
      <c r="A1576" t="s">
        <v>5251</v>
      </c>
      <c r="C1576" t="s">
        <v>2601</v>
      </c>
      <c r="D1576">
        <v>50</v>
      </c>
      <c r="E1576" t="s">
        <v>2602</v>
      </c>
      <c r="H1576" t="str">
        <f t="shared" si="24"/>
        <v>Max area size created in nav generation</v>
      </c>
      <c r="K1576" t="s">
        <v>4</v>
      </c>
      <c r="L1576" t="s">
        <v>5</v>
      </c>
    </row>
    <row r="1577" spans="1:25" x14ac:dyDescent="0.25">
      <c r="A1577" t="s">
        <v>5251</v>
      </c>
      <c r="C1577" t="s">
        <v>2603</v>
      </c>
      <c r="D1577" t="s">
        <v>25</v>
      </c>
      <c r="E1577" t="s">
        <v>2604</v>
      </c>
      <c r="H1577" t="str">
        <f t="shared" si="24"/>
        <v>Toggles the 'avoid this area when possible' flag used by the AI system.</v>
      </c>
    </row>
    <row r="1578" spans="1:25" x14ac:dyDescent="0.25">
      <c r="A1578" t="s">
        <v>5251</v>
      </c>
      <c r="C1578" t="s">
        <v>2605</v>
      </c>
      <c r="D1578" t="s">
        <v>25</v>
      </c>
      <c r="E1578" t="s">
        <v>2606</v>
      </c>
      <c r="H1578" t="str">
        <f t="shared" si="24"/>
        <v xml:space="preserve">Defines a corner of a new Area or Ladder. To complete the Area or Ladder, drag the opposite corner to the desired location and </v>
      </c>
    </row>
    <row r="1579" spans="1:25" x14ac:dyDescent="0.25">
      <c r="A1579" t="s">
        <v>5251</v>
      </c>
      <c r="C1579" t="s">
        <v>2607</v>
      </c>
      <c r="D1579" t="s">
        <v>25</v>
      </c>
      <c r="E1579" t="s">
        <v>2608</v>
      </c>
      <c r="H1579" t="str">
        <f t="shared" si="24"/>
        <v>Start continuously removing from the selected set.</v>
      </c>
    </row>
    <row r="1580" spans="1:25" x14ac:dyDescent="0.25">
      <c r="A1580" t="s">
        <v>5251</v>
      </c>
      <c r="C1580" t="s">
        <v>2609</v>
      </c>
      <c r="D1580" t="s">
        <v>25</v>
      </c>
      <c r="E1580" t="s">
        <v>2610</v>
      </c>
      <c r="H1580" t="str">
        <f t="shared" si="24"/>
        <v>Start dragging a selection area.</v>
      </c>
    </row>
    <row r="1581" spans="1:25" x14ac:dyDescent="0.25">
      <c r="A1581" t="s">
        <v>5251</v>
      </c>
      <c r="C1581" t="s">
        <v>2611</v>
      </c>
      <c r="D1581" t="s">
        <v>25</v>
      </c>
      <c r="E1581" t="s">
        <v>2610</v>
      </c>
      <c r="H1581" t="str">
        <f t="shared" si="24"/>
        <v>Start dragging a selection area.</v>
      </c>
    </row>
    <row r="1582" spans="1:25" x14ac:dyDescent="0.25">
      <c r="A1582" t="s">
        <v>5251</v>
      </c>
      <c r="C1582" t="s">
        <v>2612</v>
      </c>
      <c r="D1582" t="s">
        <v>25</v>
      </c>
      <c r="E1582" t="s">
        <v>2613</v>
      </c>
      <c r="H1582" t="str">
        <f t="shared" si="24"/>
        <v>Start continuously adding to the selected set.</v>
      </c>
    </row>
    <row r="1583" spans="1:25" x14ac:dyDescent="0.25">
      <c r="A1583" t="s">
        <v>5251</v>
      </c>
      <c r="C1583" t="s">
        <v>2614</v>
      </c>
      <c r="D1583" t="s">
        <v>25</v>
      </c>
      <c r="E1583" t="s">
        <v>2615</v>
      </c>
      <c r="H1583" t="str">
        <f t="shared" si="24"/>
        <v>Begin shifting the Selected Set.</v>
      </c>
    </row>
    <row r="1584" spans="1:25" x14ac:dyDescent="0.25">
      <c r="A1584" t="s">
        <v>5251</v>
      </c>
      <c r="C1584" t="s">
        <v>2616</v>
      </c>
      <c r="D1584" t="s">
        <v>25</v>
      </c>
      <c r="E1584" t="s">
        <v>2617</v>
      </c>
      <c r="H1584" t="str">
        <f t="shared" si="24"/>
        <v>Attempts to build a nav ladder on the climbable surface under the cursor.</v>
      </c>
    </row>
    <row r="1585" spans="1:12" x14ac:dyDescent="0.25">
      <c r="A1585" t="s">
        <v>5251</v>
      </c>
      <c r="C1585" t="s">
        <v>2618</v>
      </c>
      <c r="D1585" t="s">
        <v>25</v>
      </c>
      <c r="E1585" t="s">
        <v>2619</v>
      </c>
      <c r="H1585" t="str">
        <f t="shared" si="24"/>
        <v>Checks to be sure every (or just the marked) nav area can get to every goal area for the map (hostages or bomb site).</v>
      </c>
    </row>
    <row r="1586" spans="1:12" x14ac:dyDescent="0.25">
      <c r="A1586" t="s">
        <v>5251</v>
      </c>
      <c r="C1586" t="s">
        <v>2620</v>
      </c>
      <c r="D1586" t="s">
        <v>25</v>
      </c>
      <c r="E1586" t="s">
        <v>2621</v>
      </c>
      <c r="H1586" t="str">
        <f t="shared" si="24"/>
        <v>Scans the maps directory and reports any missing/out-of-date navigation files.</v>
      </c>
    </row>
    <row r="1587" spans="1:12" x14ac:dyDescent="0.25">
      <c r="A1587" t="s">
        <v>5251</v>
      </c>
      <c r="C1587" t="s">
        <v>2622</v>
      </c>
      <c r="D1587" t="s">
        <v>25</v>
      </c>
      <c r="E1587" t="s">
        <v>2623</v>
      </c>
      <c r="H1587" t="str">
        <f t="shared" si="24"/>
        <v>Updates the blocked/unblocked status for every nav area.</v>
      </c>
    </row>
    <row r="1588" spans="1:12" x14ac:dyDescent="0.25">
      <c r="A1588" t="s">
        <v>5251</v>
      </c>
      <c r="C1588" t="s">
        <v>2624</v>
      </c>
      <c r="D1588" t="s">
        <v>25</v>
      </c>
      <c r="E1588" t="s">
        <v>2625</v>
      </c>
      <c r="H1588" t="str">
        <f t="shared" si="24"/>
        <v>Update the nav mesh STAIRS attribute</v>
      </c>
    </row>
    <row r="1589" spans="1:12" x14ac:dyDescent="0.25">
      <c r="A1589" t="s">
        <v>5251</v>
      </c>
      <c r="C1589" t="s">
        <v>2626</v>
      </c>
      <c r="D1589" t="s">
        <v>25</v>
      </c>
      <c r="E1589" t="s">
        <v>2627</v>
      </c>
      <c r="H1589" t="str">
        <f t="shared" si="24"/>
        <v>Chops all selected areas into their component 1x1 areas</v>
      </c>
    </row>
    <row r="1590" spans="1:12" x14ac:dyDescent="0.25">
      <c r="A1590" t="s">
        <v>5251</v>
      </c>
      <c r="C1590" t="s">
        <v>2628</v>
      </c>
      <c r="D1590" t="s">
        <v>25</v>
      </c>
      <c r="E1590" t="s">
        <v>2629</v>
      </c>
      <c r="H1590" t="str">
        <f t="shared" si="24"/>
        <v>Remove given nav attribute from all areas in the selected set.</v>
      </c>
    </row>
    <row r="1591" spans="1:12" x14ac:dyDescent="0.25">
      <c r="A1591" t="s">
        <v>5251</v>
      </c>
      <c r="C1591" t="s">
        <v>2630</v>
      </c>
      <c r="D1591" t="s">
        <v>25</v>
      </c>
      <c r="E1591" t="s">
        <v>2631</v>
      </c>
      <c r="H1591" t="str">
        <f t="shared" si="24"/>
        <v>Clear the selected set.</v>
      </c>
    </row>
    <row r="1592" spans="1:12" x14ac:dyDescent="0.25">
      <c r="A1592" t="s">
        <v>5251</v>
      </c>
      <c r="C1592" t="s">
        <v>2632</v>
      </c>
      <c r="D1592" t="s">
        <v>25</v>
      </c>
      <c r="E1592" t="s">
        <v>2633</v>
      </c>
      <c r="H1592" t="str">
        <f t="shared" si="24"/>
        <v>Erase any previously placed walkable positions.</v>
      </c>
    </row>
    <row r="1593" spans="1:12" x14ac:dyDescent="0.25">
      <c r="A1593" t="s">
        <v>5251</v>
      </c>
      <c r="C1593" t="s">
        <v>2634</v>
      </c>
      <c r="D1593" t="s">
        <v>25</v>
      </c>
      <c r="E1593" t="s">
        <v>2635</v>
      </c>
      <c r="H1593" t="str">
        <f t="shared" si="24"/>
        <v>Re-orders area and ladder ID's so they are continuous.</v>
      </c>
    </row>
    <row r="1594" spans="1:12" x14ac:dyDescent="0.25">
      <c r="A1594" t="s">
        <v>5251</v>
      </c>
      <c r="C1594" t="s">
        <v>2636</v>
      </c>
      <c r="D1594" t="s">
        <v>25</v>
      </c>
      <c r="E1594" t="s">
        <v>2637</v>
      </c>
      <c r="H1594" t="str">
        <f t="shared" si="24"/>
        <v>To connect two Areas, mark the first Area, highlight the second Area, then invoke the connect command. Note that this creates a</v>
      </c>
    </row>
    <row r="1595" spans="1:12" x14ac:dyDescent="0.25">
      <c r="A1595" t="s">
        <v>5251</v>
      </c>
      <c r="C1595" t="s">
        <v>2638</v>
      </c>
      <c r="D1595">
        <v>0</v>
      </c>
      <c r="H1595">
        <f t="shared" si="24"/>
        <v>0</v>
      </c>
      <c r="K1595" t="s">
        <v>4</v>
      </c>
      <c r="L1595" t="s">
        <v>5</v>
      </c>
    </row>
    <row r="1596" spans="1:12" x14ac:dyDescent="0.25">
      <c r="A1596" t="s">
        <v>5251</v>
      </c>
      <c r="C1596" t="s">
        <v>2639</v>
      </c>
      <c r="D1596">
        <v>0</v>
      </c>
      <c r="H1596">
        <f t="shared" si="24"/>
        <v>0</v>
      </c>
      <c r="K1596" t="s">
        <v>4</v>
      </c>
      <c r="L1596" t="s">
        <v>5</v>
      </c>
    </row>
    <row r="1597" spans="1:12" x14ac:dyDescent="0.25">
      <c r="A1597" t="s">
        <v>5251</v>
      </c>
      <c r="C1597" t="s">
        <v>2640</v>
      </c>
      <c r="D1597">
        <v>18</v>
      </c>
      <c r="E1597" t="s">
        <v>2641</v>
      </c>
      <c r="H1597" t="str">
        <f t="shared" si="24"/>
        <v>radius used to raise/lower corners in nearby areas when raising/lowering corners.</v>
      </c>
      <c r="K1597" t="s">
        <v>4</v>
      </c>
      <c r="L1597" t="s">
        <v>5</v>
      </c>
    </row>
    <row r="1598" spans="1:12" x14ac:dyDescent="0.25">
      <c r="A1598" t="s">
        <v>5251</v>
      </c>
      <c r="C1598" t="s">
        <v>2642</v>
      </c>
      <c r="D1598" t="s">
        <v>25</v>
      </c>
      <c r="E1598" t="s">
        <v>2643</v>
      </c>
      <c r="H1598" t="str">
        <f t="shared" si="24"/>
        <v>Lower the selected corner of the currently marked Area.</v>
      </c>
    </row>
    <row r="1599" spans="1:12" x14ac:dyDescent="0.25">
      <c r="A1599" t="s">
        <v>5251</v>
      </c>
      <c r="C1599" t="s">
        <v>2644</v>
      </c>
      <c r="D1599" t="s">
        <v>25</v>
      </c>
      <c r="E1599" t="s">
        <v>2645</v>
      </c>
      <c r="H1599" t="str">
        <f t="shared" si="24"/>
        <v>Places the selected corner of the currently marked Area on the ground.</v>
      </c>
    </row>
    <row r="1600" spans="1:12" x14ac:dyDescent="0.25">
      <c r="A1600" t="s">
        <v>5251</v>
      </c>
      <c r="C1600" t="s">
        <v>2646</v>
      </c>
      <c r="D1600" t="s">
        <v>25</v>
      </c>
      <c r="E1600" t="s">
        <v>2647</v>
      </c>
      <c r="H1600" t="str">
        <f t="shared" si="24"/>
        <v>Raise the selected corner of the currently marked Area.</v>
      </c>
    </row>
    <row r="1601" spans="1:12" x14ac:dyDescent="0.25">
      <c r="A1601" t="s">
        <v>5251</v>
      </c>
      <c r="C1601" t="s">
        <v>2648</v>
      </c>
      <c r="D1601" t="s">
        <v>25</v>
      </c>
      <c r="E1601" t="s">
        <v>2649</v>
      </c>
      <c r="H1601" t="str">
        <f t="shared" si="24"/>
        <v>Select a corner of the currently marked Area. Use multiple times to access all four corners.</v>
      </c>
    </row>
    <row r="1602" spans="1:12" x14ac:dyDescent="0.25">
      <c r="A1602" t="s">
        <v>5251</v>
      </c>
      <c r="C1602" t="s">
        <v>2650</v>
      </c>
      <c r="D1602">
        <v>0</v>
      </c>
      <c r="E1602" t="s">
        <v>2651</v>
      </c>
      <c r="H1602" t="str">
        <f t="shared" si="24"/>
        <v>Anchor nav_begin_area Z to editing player's feet</v>
      </c>
      <c r="K1602" t="s">
        <v>4</v>
      </c>
      <c r="L1602" t="s">
        <v>5</v>
      </c>
    </row>
    <row r="1603" spans="1:12" x14ac:dyDescent="0.25">
      <c r="A1603" t="s">
        <v>5251</v>
      </c>
      <c r="C1603" t="s">
        <v>2652</v>
      </c>
      <c r="D1603">
        <v>0</v>
      </c>
      <c r="E1603" t="s">
        <v>2653</v>
      </c>
      <c r="H1603" t="str">
        <f t="shared" ref="H1603:H1666" si="25">IF(F1603="",E1603, F1603 &amp; " - Original Helptext: " &amp;E1603)</f>
        <v>If true, nav areas will be placed flush with the ground when created by hand.</v>
      </c>
      <c r="K1603" t="s">
        <v>4</v>
      </c>
      <c r="L1603" t="s">
        <v>5</v>
      </c>
    </row>
    <row r="1604" spans="1:12" x14ac:dyDescent="0.25">
      <c r="A1604" t="s">
        <v>5251</v>
      </c>
      <c r="C1604" t="s">
        <v>2654</v>
      </c>
      <c r="D1604" t="s">
        <v>25</v>
      </c>
      <c r="E1604" t="s">
        <v>2655</v>
      </c>
      <c r="H1604" t="str">
        <f t="shared" si="25"/>
        <v>Toggles the 'must crouch in this area' flag used by the AI system.</v>
      </c>
    </row>
    <row r="1605" spans="1:12" x14ac:dyDescent="0.25">
      <c r="A1605" t="s">
        <v>5251</v>
      </c>
      <c r="C1605" t="s">
        <v>2656</v>
      </c>
      <c r="D1605">
        <v>0</v>
      </c>
      <c r="H1605">
        <f t="shared" si="25"/>
        <v>0</v>
      </c>
      <c r="K1605" t="s">
        <v>4</v>
      </c>
      <c r="L1605" t="s">
        <v>5</v>
      </c>
    </row>
    <row r="1606" spans="1:12" x14ac:dyDescent="0.25">
      <c r="A1606" t="s">
        <v>5251</v>
      </c>
      <c r="C1606" t="s">
        <v>2657</v>
      </c>
      <c r="D1606" t="s">
        <v>25</v>
      </c>
      <c r="E1606" t="s">
        <v>2658</v>
      </c>
      <c r="H1606" t="str">
        <f t="shared" si="25"/>
        <v>Deletes the currently highlighted Area.</v>
      </c>
    </row>
    <row r="1607" spans="1:12" x14ac:dyDescent="0.25">
      <c r="A1607" t="s">
        <v>5251</v>
      </c>
      <c r="C1607" t="s">
        <v>2659</v>
      </c>
      <c r="D1607" t="s">
        <v>25</v>
      </c>
      <c r="E1607" t="s">
        <v>2660</v>
      </c>
      <c r="H1607" t="str">
        <f t="shared" si="25"/>
        <v>Deletes the currently marked Area (if any).</v>
      </c>
    </row>
    <row r="1608" spans="1:12" x14ac:dyDescent="0.25">
      <c r="A1608" t="s">
        <v>5251</v>
      </c>
      <c r="C1608" t="s">
        <v>2661</v>
      </c>
      <c r="D1608" t="s">
        <v>25</v>
      </c>
      <c r="E1608" t="s">
        <v>2662</v>
      </c>
      <c r="H1608" t="str">
        <f t="shared" si="25"/>
        <v>To disconnect two Areas, mark an Area, highlight a second Area, then invoke the disconnect command. This will remove all connec</v>
      </c>
    </row>
    <row r="1609" spans="1:12" x14ac:dyDescent="0.25">
      <c r="A1609" t="s">
        <v>5251</v>
      </c>
      <c r="C1609" t="s">
        <v>2663</v>
      </c>
      <c r="D1609">
        <v>10000</v>
      </c>
      <c r="E1609" t="s">
        <v>2664</v>
      </c>
      <c r="H1609" t="str">
        <f t="shared" si="25"/>
        <v>Checks for nodes embedded in displacements (useful for in-development maps)</v>
      </c>
      <c r="K1609" t="s">
        <v>4</v>
      </c>
      <c r="L1609" t="s">
        <v>5</v>
      </c>
    </row>
    <row r="1610" spans="1:12" x14ac:dyDescent="0.25">
      <c r="A1610" t="s">
        <v>5251</v>
      </c>
      <c r="C1610" t="s">
        <v>2665</v>
      </c>
      <c r="D1610" t="s">
        <v>25</v>
      </c>
      <c r="E1610" t="s">
        <v>2666</v>
      </c>
      <c r="H1610" t="str">
        <f t="shared" si="25"/>
        <v>Toggles the 'area is not suitable for hiding spots' flag used by the AI system.</v>
      </c>
    </row>
    <row r="1611" spans="1:12" x14ac:dyDescent="0.25">
      <c r="A1611" t="s">
        <v>5251</v>
      </c>
      <c r="C1611" t="s">
        <v>2667</v>
      </c>
      <c r="D1611">
        <v>500</v>
      </c>
      <c r="E1611" t="s">
        <v>2668</v>
      </c>
      <c r="H1611" t="str">
        <f t="shared" si="25"/>
        <v>The maximum number of areas to draw in edit mode</v>
      </c>
      <c r="K1611" t="s">
        <v>4</v>
      </c>
      <c r="L1611" t="s">
        <v>5</v>
      </c>
    </row>
    <row r="1612" spans="1:12" x14ac:dyDescent="0.25">
      <c r="A1612" t="s">
        <v>5251</v>
      </c>
      <c r="C1612" t="s">
        <v>2669</v>
      </c>
      <c r="D1612">
        <v>0</v>
      </c>
      <c r="E1612" t="s">
        <v>2670</v>
      </c>
      <c r="H1612" t="str">
        <f t="shared" si="25"/>
        <v>Set to one to interactively edit the Navigation Mesh. Set to zero to leave edit mode.</v>
      </c>
      <c r="K1612" t="s">
        <v>4</v>
      </c>
      <c r="L1612" t="s">
        <v>5</v>
      </c>
    </row>
    <row r="1613" spans="1:12" x14ac:dyDescent="0.25">
      <c r="A1613" t="s">
        <v>5251</v>
      </c>
      <c r="C1613" t="s">
        <v>2671</v>
      </c>
      <c r="D1613" t="s">
        <v>25</v>
      </c>
      <c r="E1613" t="s">
        <v>2672</v>
      </c>
      <c r="H1613" t="str">
        <f t="shared" si="25"/>
        <v>Defines the second corner of a new Area or Ladder and creates it.</v>
      </c>
    </row>
    <row r="1614" spans="1:12" x14ac:dyDescent="0.25">
      <c r="A1614" t="s">
        <v>5251</v>
      </c>
      <c r="C1614" t="s">
        <v>2673</v>
      </c>
      <c r="D1614" t="s">
        <v>25</v>
      </c>
      <c r="E1614" t="s">
        <v>2674</v>
      </c>
      <c r="H1614" t="str">
        <f t="shared" si="25"/>
        <v>Stop continuously removing from the selected set.</v>
      </c>
    </row>
    <row r="1615" spans="1:12" x14ac:dyDescent="0.25">
      <c r="A1615" t="s">
        <v>5251</v>
      </c>
      <c r="C1615" t="s">
        <v>2675</v>
      </c>
      <c r="D1615" t="s">
        <v>25</v>
      </c>
      <c r="E1615" t="s">
        <v>2676</v>
      </c>
      <c r="H1615" t="str">
        <f t="shared" si="25"/>
        <v>Stop dragging a selection area.</v>
      </c>
    </row>
    <row r="1616" spans="1:12" x14ac:dyDescent="0.25">
      <c r="A1616" t="s">
        <v>5251</v>
      </c>
      <c r="C1616" t="s">
        <v>2677</v>
      </c>
      <c r="D1616" t="s">
        <v>25</v>
      </c>
      <c r="E1616" t="s">
        <v>2676</v>
      </c>
      <c r="H1616" t="str">
        <f t="shared" si="25"/>
        <v>Stop dragging a selection area.</v>
      </c>
    </row>
    <row r="1617" spans="1:12" x14ac:dyDescent="0.25">
      <c r="A1617" t="s">
        <v>5251</v>
      </c>
      <c r="C1617" t="s">
        <v>2678</v>
      </c>
      <c r="D1617" t="s">
        <v>25</v>
      </c>
      <c r="E1617" t="s">
        <v>2679</v>
      </c>
      <c r="H1617" t="str">
        <f t="shared" si="25"/>
        <v>Stop continuously adding to the selected set.</v>
      </c>
    </row>
    <row r="1618" spans="1:12" x14ac:dyDescent="0.25">
      <c r="A1618" t="s">
        <v>5251</v>
      </c>
      <c r="C1618" t="s">
        <v>2680</v>
      </c>
      <c r="D1618" t="s">
        <v>25</v>
      </c>
      <c r="E1618" t="s">
        <v>2681</v>
      </c>
      <c r="H1618" t="str">
        <f t="shared" si="25"/>
        <v>Finish shifting the Selected Set.</v>
      </c>
    </row>
    <row r="1619" spans="1:12" x14ac:dyDescent="0.25">
      <c r="A1619" t="s">
        <v>5251</v>
      </c>
      <c r="C1619" t="s">
        <v>2682</v>
      </c>
      <c r="D1619" t="s">
        <v>25</v>
      </c>
      <c r="E1619" t="s">
        <v>2683</v>
      </c>
      <c r="H1619" t="str">
        <f t="shared" si="25"/>
        <v>Selects the current Area and all Areas connected to it, recursively. To clear a selection, use this command again.</v>
      </c>
    </row>
    <row r="1620" spans="1:12" x14ac:dyDescent="0.25">
      <c r="A1620" t="s">
        <v>5251</v>
      </c>
      <c r="C1620" t="s">
        <v>2684</v>
      </c>
      <c r="D1620" t="s">
        <v>25</v>
      </c>
      <c r="E1620" t="s">
        <v>2685</v>
      </c>
      <c r="H1620" t="str">
        <f t="shared" si="25"/>
        <v>Mark cliff areas, post-processing approximation</v>
      </c>
    </row>
    <row r="1621" spans="1:12" x14ac:dyDescent="0.25">
      <c r="A1621" t="s">
        <v>5251</v>
      </c>
      <c r="C1621" t="s">
        <v>2686</v>
      </c>
      <c r="D1621" t="s">
        <v>25</v>
      </c>
      <c r="E1621" t="s">
        <v>2687</v>
      </c>
      <c r="H1621" t="str">
        <f t="shared" si="25"/>
        <v>Generate a Navigation Mesh for the current map and save it to disk.</v>
      </c>
    </row>
    <row r="1622" spans="1:12" x14ac:dyDescent="0.25">
      <c r="A1622" t="s">
        <v>5251</v>
      </c>
      <c r="C1622" t="s">
        <v>2688</v>
      </c>
      <c r="D1622">
        <v>1</v>
      </c>
      <c r="E1622" t="s">
        <v>2689</v>
      </c>
      <c r="H1622" t="str">
        <f t="shared" si="25"/>
        <v>Autogenerate nav areas on fence and obstacle tops</v>
      </c>
      <c r="K1622" t="s">
        <v>4</v>
      </c>
      <c r="L1622" t="s">
        <v>5</v>
      </c>
    </row>
    <row r="1623" spans="1:12" x14ac:dyDescent="0.25">
      <c r="A1623" t="s">
        <v>5251</v>
      </c>
      <c r="C1623" t="s">
        <v>2690</v>
      </c>
      <c r="D1623">
        <v>1</v>
      </c>
      <c r="E1623" t="s">
        <v>2691</v>
      </c>
      <c r="H1623" t="str">
        <f t="shared" si="25"/>
        <v>Convert obsolete jump areas into 2-way connections</v>
      </c>
      <c r="K1623" t="s">
        <v>4</v>
      </c>
      <c r="L1623" t="s">
        <v>5</v>
      </c>
    </row>
    <row r="1624" spans="1:12" x14ac:dyDescent="0.25">
      <c r="A1624" t="s">
        <v>5251</v>
      </c>
      <c r="C1624" t="s">
        <v>2692</v>
      </c>
      <c r="D1624" t="s">
        <v>25</v>
      </c>
      <c r="E1624" t="s">
        <v>2687</v>
      </c>
      <c r="H1624" t="str">
        <f t="shared" si="25"/>
        <v>Generate a Navigation Mesh for the current map and save it to disk.</v>
      </c>
    </row>
    <row r="1625" spans="1:12" x14ac:dyDescent="0.25">
      <c r="A1625" t="s">
        <v>5251</v>
      </c>
      <c r="C1625" t="s">
        <v>2693</v>
      </c>
      <c r="D1625">
        <v>2000</v>
      </c>
      <c r="H1625">
        <f t="shared" si="25"/>
        <v>0</v>
      </c>
      <c r="K1625" t="s">
        <v>4</v>
      </c>
      <c r="L1625" t="s">
        <v>5</v>
      </c>
    </row>
    <row r="1626" spans="1:12" x14ac:dyDescent="0.25">
      <c r="A1626" t="s">
        <v>5251</v>
      </c>
      <c r="C1626" t="s">
        <v>2694</v>
      </c>
      <c r="D1626">
        <v>0</v>
      </c>
      <c r="E1626" t="s">
        <v>2695</v>
      </c>
      <c r="H1626" t="str">
        <f t="shared" si="25"/>
        <v>Z tolerance for adding new nav areas.</v>
      </c>
      <c r="K1626" t="s">
        <v>4</v>
      </c>
      <c r="L1626" t="s">
        <v>5</v>
      </c>
    </row>
    <row r="1627" spans="1:12" x14ac:dyDescent="0.25">
      <c r="A1627" t="s">
        <v>5251</v>
      </c>
      <c r="C1627" t="s">
        <v>2696</v>
      </c>
      <c r="D1627" t="s">
        <v>25</v>
      </c>
      <c r="E1627" t="s">
        <v>2697</v>
      </c>
      <c r="H1627" t="str">
        <f t="shared" si="25"/>
        <v>Toggles the 'traverse this area by jumping' flag used by the AI system.</v>
      </c>
    </row>
    <row r="1628" spans="1:12" x14ac:dyDescent="0.25">
      <c r="A1628" t="s">
        <v>5251</v>
      </c>
      <c r="C1628" t="s">
        <v>2698</v>
      </c>
      <c r="D1628" t="s">
        <v>25</v>
      </c>
      <c r="E1628" t="s">
        <v>2699</v>
      </c>
      <c r="H1628" t="str">
        <f t="shared" si="25"/>
        <v>Flips the selected ladder's direction.</v>
      </c>
    </row>
    <row r="1629" spans="1:12" x14ac:dyDescent="0.25">
      <c r="A1629" t="s">
        <v>5251</v>
      </c>
      <c r="C1629" t="s">
        <v>2700</v>
      </c>
      <c r="D1629" t="s">
        <v>25</v>
      </c>
      <c r="E1629" t="s">
        <v>2701</v>
      </c>
      <c r="H1629" t="str">
        <f t="shared" si="25"/>
        <v>Loads the Navigation Mesh for the current map.</v>
      </c>
    </row>
    <row r="1630" spans="1:12" x14ac:dyDescent="0.25">
      <c r="A1630" t="s">
        <v>5251</v>
      </c>
      <c r="C1630" t="s">
        <v>2702</v>
      </c>
      <c r="D1630" t="s">
        <v>25</v>
      </c>
      <c r="E1630" t="s">
        <v>2703</v>
      </c>
      <c r="H1630" t="str">
        <f t="shared" si="25"/>
        <v>Lower the top of the drag select volume.</v>
      </c>
    </row>
    <row r="1631" spans="1:12" x14ac:dyDescent="0.25">
      <c r="A1631" t="s">
        <v>5251</v>
      </c>
      <c r="C1631" t="s">
        <v>2704</v>
      </c>
      <c r="D1631" t="s">
        <v>25</v>
      </c>
      <c r="E1631" t="s">
        <v>2705</v>
      </c>
      <c r="H1631" t="str">
        <f t="shared" si="25"/>
        <v>Lower the bottom of the drag select volume.</v>
      </c>
    </row>
    <row r="1632" spans="1:12" x14ac:dyDescent="0.25">
      <c r="A1632" t="s">
        <v>5251</v>
      </c>
      <c r="C1632" t="s">
        <v>2706</v>
      </c>
      <c r="D1632" t="s">
        <v>25</v>
      </c>
      <c r="E1632" t="s">
        <v>2707</v>
      </c>
      <c r="H1632" t="str">
        <f t="shared" si="25"/>
        <v>Chops the marked area into disconnected sub-areas suitable for sniper spots.</v>
      </c>
    </row>
    <row r="1633" spans="1:12" x14ac:dyDescent="0.25">
      <c r="A1633" t="s">
        <v>5251</v>
      </c>
      <c r="C1633" t="s">
        <v>2708</v>
      </c>
      <c r="D1633" t="s">
        <v>25</v>
      </c>
      <c r="E1633" t="s">
        <v>2709</v>
      </c>
      <c r="H1633" t="str">
        <f t="shared" si="25"/>
        <v>Marks the Area or Ladder under the cursor for manipulation by subsequent editing commands.</v>
      </c>
    </row>
    <row r="1634" spans="1:12" x14ac:dyDescent="0.25">
      <c r="A1634" t="s">
        <v>5251</v>
      </c>
      <c r="C1634" t="s">
        <v>2710</v>
      </c>
      <c r="D1634" t="s">
        <v>25</v>
      </c>
      <c r="E1634" t="s">
        <v>2711</v>
      </c>
      <c r="H1634" t="str">
        <f t="shared" si="25"/>
        <v>Set nav attribute for all areas in the selected set.</v>
      </c>
    </row>
    <row r="1635" spans="1:12" x14ac:dyDescent="0.25">
      <c r="A1635" t="s">
        <v>5251</v>
      </c>
      <c r="C1635" t="s">
        <v>2712</v>
      </c>
      <c r="D1635" t="s">
        <v>25</v>
      </c>
      <c r="E1635" t="s">
        <v>2713</v>
      </c>
      <c r="H1635" t="str">
        <f t="shared" si="25"/>
        <v>Mark an Area with no Place name. Useful for finding stray areas missed when Place Painting.</v>
      </c>
    </row>
    <row r="1636" spans="1:12" x14ac:dyDescent="0.25">
      <c r="A1636" t="s">
        <v>5251</v>
      </c>
      <c r="C1636" t="s">
        <v>2714</v>
      </c>
      <c r="D1636" t="s">
        <v>25</v>
      </c>
      <c r="E1636" t="s">
        <v>2715</v>
      </c>
      <c r="H1636" t="str">
        <f t="shared" si="25"/>
        <v xml:space="preserve">Mark the current location as a walkable position. These positions are used as seed locations when sampling the map to generate </v>
      </c>
    </row>
    <row r="1637" spans="1:12" x14ac:dyDescent="0.25">
      <c r="A1637" t="s">
        <v>5251</v>
      </c>
      <c r="C1637" t="s">
        <v>2716</v>
      </c>
      <c r="D1637">
        <v>0</v>
      </c>
      <c r="E1637" t="s">
        <v>2717</v>
      </c>
      <c r="H1637" t="str">
        <f t="shared" si="25"/>
        <v>Maximum range for precomputed nav mesh visibility (0 = default 1500 units)</v>
      </c>
      <c r="K1637" t="s">
        <v>4</v>
      </c>
      <c r="L1637" t="s">
        <v>5</v>
      </c>
    </row>
    <row r="1638" spans="1:12" x14ac:dyDescent="0.25">
      <c r="A1638" t="s">
        <v>5251</v>
      </c>
      <c r="C1638" t="s">
        <v>2718</v>
      </c>
      <c r="D1638">
        <v>64</v>
      </c>
      <c r="H1638">
        <f t="shared" si="25"/>
        <v>0</v>
      </c>
      <c r="K1638" t="s">
        <v>4</v>
      </c>
      <c r="L1638" t="s">
        <v>5</v>
      </c>
    </row>
    <row r="1639" spans="1:12" x14ac:dyDescent="0.25">
      <c r="A1639" t="s">
        <v>5251</v>
      </c>
      <c r="C1639" t="s">
        <v>2719</v>
      </c>
      <c r="D1639" t="s">
        <v>25</v>
      </c>
      <c r="E1639" t="s">
        <v>2720</v>
      </c>
      <c r="H1639" t="str">
        <f t="shared" si="25"/>
        <v>To merge two Areas into one, mark the first Area, highlight the second by pointing your cursor at it, and invoke the merge comm</v>
      </c>
    </row>
    <row r="1640" spans="1:12" x14ac:dyDescent="0.25">
      <c r="A1640" t="s">
        <v>5251</v>
      </c>
      <c r="C1640" t="s">
        <v>2721</v>
      </c>
      <c r="D1640" t="s">
        <v>25</v>
      </c>
      <c r="E1640" t="s">
        <v>2722</v>
      </c>
      <c r="H1640" t="str">
        <f t="shared" si="25"/>
        <v>Merges a saved selected set into the current mesh.</v>
      </c>
    </row>
    <row r="1641" spans="1:12" x14ac:dyDescent="0.25">
      <c r="A1641" t="s">
        <v>5251</v>
      </c>
      <c r="C1641" t="s">
        <v>2723</v>
      </c>
      <c r="D1641" t="s">
        <v>25</v>
      </c>
      <c r="E1641" t="s">
        <v>2724</v>
      </c>
      <c r="H1641" t="str">
        <f t="shared" si="25"/>
        <v>Toggles the 'hostages cannot use this area' flag used by the AI system.</v>
      </c>
    </row>
    <row r="1642" spans="1:12" x14ac:dyDescent="0.25">
      <c r="A1642" t="s">
        <v>5251</v>
      </c>
      <c r="C1642" t="s">
        <v>2725</v>
      </c>
      <c r="D1642" t="s">
        <v>25</v>
      </c>
      <c r="E1642" t="s">
        <v>2726</v>
      </c>
      <c r="H1642" t="str">
        <f t="shared" si="25"/>
        <v>Toggles the 'dont jump in this area' flag used by the AI system.</v>
      </c>
    </row>
    <row r="1643" spans="1:12" x14ac:dyDescent="0.25">
      <c r="A1643" t="s">
        <v>5251</v>
      </c>
      <c r="C1643" t="s">
        <v>2727</v>
      </c>
      <c r="D1643" t="s">
        <v>25</v>
      </c>
      <c r="E1643" t="s">
        <v>2728</v>
      </c>
      <c r="H1643" t="str">
        <f t="shared" si="25"/>
        <v>Sets the Place of the Area under the cursor to the curent Place, and 'flood-fills' the Place to all adjacent Areas. Flood-filli</v>
      </c>
    </row>
    <row r="1644" spans="1:12" x14ac:dyDescent="0.25">
      <c r="A1644" t="s">
        <v>5251</v>
      </c>
      <c r="C1644" t="s">
        <v>2729</v>
      </c>
      <c r="D1644" t="s">
        <v>25</v>
      </c>
      <c r="E1644" t="s">
        <v>2730</v>
      </c>
      <c r="H1644" t="str">
        <f t="shared" si="25"/>
        <v>Lists all place names used in the map.</v>
      </c>
    </row>
    <row r="1645" spans="1:12" x14ac:dyDescent="0.25">
      <c r="A1645" t="s">
        <v>5251</v>
      </c>
      <c r="C1645" t="s">
        <v>2731</v>
      </c>
      <c r="D1645" t="s">
        <v>25</v>
      </c>
      <c r="E1645" t="s">
        <v>2732</v>
      </c>
      <c r="H1645" t="str">
        <f t="shared" si="25"/>
        <v>Sets the current Place to the Place of the Area under the cursor.</v>
      </c>
    </row>
    <row r="1646" spans="1:12" x14ac:dyDescent="0.25">
      <c r="A1646" t="s">
        <v>5251</v>
      </c>
      <c r="C1646" t="s">
        <v>2733</v>
      </c>
      <c r="D1646" t="s">
        <v>25</v>
      </c>
      <c r="E1646" t="s">
        <v>2734</v>
      </c>
      <c r="H1646" t="str">
        <f t="shared" si="25"/>
        <v>Replaces all instances of the first place with the second place.</v>
      </c>
    </row>
    <row r="1647" spans="1:12" x14ac:dyDescent="0.25">
      <c r="A1647" t="s">
        <v>5251</v>
      </c>
      <c r="C1647" t="s">
        <v>2735</v>
      </c>
      <c r="D1647" t="s">
        <v>25</v>
      </c>
      <c r="E1647" t="s">
        <v>2736</v>
      </c>
      <c r="H1647" t="str">
        <f t="shared" si="25"/>
        <v>Sets the Place of all selected areas to the current Place.</v>
      </c>
    </row>
    <row r="1648" spans="1:12" x14ac:dyDescent="0.25">
      <c r="A1648" t="s">
        <v>5251</v>
      </c>
      <c r="C1648" t="s">
        <v>2737</v>
      </c>
      <c r="D1648">
        <v>0</v>
      </c>
      <c r="H1648">
        <f t="shared" si="25"/>
        <v>0</v>
      </c>
      <c r="K1648" t="s">
        <v>4</v>
      </c>
      <c r="L1648" t="s">
        <v>5</v>
      </c>
    </row>
    <row r="1649" spans="1:12" x14ac:dyDescent="0.25">
      <c r="A1649" t="s">
        <v>5251</v>
      </c>
      <c r="C1649" t="s">
        <v>2738</v>
      </c>
      <c r="D1649" t="s">
        <v>25</v>
      </c>
      <c r="E1649" t="s">
        <v>2739</v>
      </c>
      <c r="H1649" t="str">
        <f t="shared" si="25"/>
        <v>Toggles the 'dont avoid obstacles' flag used by the AI system.</v>
      </c>
    </row>
    <row r="1650" spans="1:12" x14ac:dyDescent="0.25">
      <c r="A1650" t="s">
        <v>5251</v>
      </c>
      <c r="C1650" t="s">
        <v>2740</v>
      </c>
      <c r="D1650">
        <v>0</v>
      </c>
      <c r="E1650" t="s">
        <v>2741</v>
      </c>
      <c r="H1650" t="str">
        <f t="shared" si="25"/>
        <v>Set to one to skip the time consuming phases of the analysis.  Useful for data collection and testing.</v>
      </c>
      <c r="K1650" t="s">
        <v>4</v>
      </c>
      <c r="L1650" t="s">
        <v>5</v>
      </c>
    </row>
    <row r="1651" spans="1:12" x14ac:dyDescent="0.25">
      <c r="A1651" t="s">
        <v>5251</v>
      </c>
      <c r="C1651" t="s">
        <v>2742</v>
      </c>
      <c r="D1651" t="s">
        <v>25</v>
      </c>
      <c r="E1651" t="s">
        <v>2743</v>
      </c>
      <c r="H1651" t="str">
        <f t="shared" si="25"/>
        <v>Raise the top of the drag select volume.</v>
      </c>
    </row>
    <row r="1652" spans="1:12" x14ac:dyDescent="0.25">
      <c r="A1652" t="s">
        <v>5251</v>
      </c>
      <c r="C1652" t="s">
        <v>2744</v>
      </c>
      <c r="D1652" t="s">
        <v>25</v>
      </c>
      <c r="E1652" t="s">
        <v>2745</v>
      </c>
      <c r="H1652" t="str">
        <f t="shared" si="25"/>
        <v>Raise the bottom of the drag select volume.</v>
      </c>
    </row>
    <row r="1653" spans="1:12" x14ac:dyDescent="0.25">
      <c r="A1653" t="s">
        <v>5251</v>
      </c>
      <c r="C1653" t="s">
        <v>2746</v>
      </c>
      <c r="D1653" t="s">
        <v>25</v>
      </c>
      <c r="E1653" t="s">
        <v>2747</v>
      </c>
      <c r="H1653" t="str">
        <f t="shared" si="25"/>
        <v>Re-selects the stored selected set.</v>
      </c>
    </row>
    <row r="1654" spans="1:12" x14ac:dyDescent="0.25">
      <c r="A1654" t="s">
        <v>5251</v>
      </c>
      <c r="C1654" t="s">
        <v>2748</v>
      </c>
      <c r="D1654" t="s">
        <v>25</v>
      </c>
      <c r="E1654" t="s">
        <v>2749</v>
      </c>
      <c r="H1654" t="str">
        <f t="shared" si="25"/>
        <v>Remove current area from the selected set.</v>
      </c>
    </row>
    <row r="1655" spans="1:12" x14ac:dyDescent="0.25">
      <c r="A1655" t="s">
        <v>5251</v>
      </c>
      <c r="C1655" t="s">
        <v>2750</v>
      </c>
      <c r="D1655" t="s">
        <v>25</v>
      </c>
      <c r="E1655" t="s">
        <v>2751</v>
      </c>
      <c r="H1655" t="str">
        <f t="shared" si="25"/>
        <v>Removes legacy jump areas, replacing them with connections.</v>
      </c>
    </row>
    <row r="1656" spans="1:12" x14ac:dyDescent="0.25">
      <c r="A1656" t="s">
        <v>5251</v>
      </c>
      <c r="C1656" t="s">
        <v>2752</v>
      </c>
      <c r="D1656" t="s">
        <v>25</v>
      </c>
      <c r="E1656" t="s">
        <v>2753</v>
      </c>
      <c r="H1656" t="str">
        <f t="shared" si="25"/>
        <v>Toggles the 'traverse this area by running' flag used by the AI system.</v>
      </c>
    </row>
    <row r="1657" spans="1:12" x14ac:dyDescent="0.25">
      <c r="A1657" t="s">
        <v>5251</v>
      </c>
      <c r="C1657" t="s">
        <v>2754</v>
      </c>
      <c r="D1657" t="s">
        <v>25</v>
      </c>
      <c r="E1657" t="s">
        <v>2755</v>
      </c>
      <c r="H1657" t="str">
        <f t="shared" si="25"/>
        <v>Saves the current Navigation Mesh to disk.</v>
      </c>
    </row>
    <row r="1658" spans="1:12" x14ac:dyDescent="0.25">
      <c r="A1658" t="s">
        <v>5251</v>
      </c>
      <c r="C1658" t="s">
        <v>2756</v>
      </c>
      <c r="D1658" t="s">
        <v>25</v>
      </c>
      <c r="E1658" t="s">
        <v>2757</v>
      </c>
      <c r="H1658" t="str">
        <f t="shared" si="25"/>
        <v>Writes the selected set to disk for merging into another mesh via nav_merge_mesh.</v>
      </c>
    </row>
    <row r="1659" spans="1:12" x14ac:dyDescent="0.25">
      <c r="A1659" t="s">
        <v>5251</v>
      </c>
      <c r="C1659" t="s">
        <v>2758</v>
      </c>
      <c r="D1659" t="s">
        <v>25</v>
      </c>
      <c r="E1659" t="s">
        <v>2759</v>
      </c>
      <c r="H1659" t="str">
        <f t="shared" si="25"/>
        <v>Adds all blocked areas to the selected set</v>
      </c>
    </row>
    <row r="1660" spans="1:12" x14ac:dyDescent="0.25">
      <c r="A1660" t="s">
        <v>5251</v>
      </c>
      <c r="C1660" t="s">
        <v>2760</v>
      </c>
      <c r="D1660" t="s">
        <v>25</v>
      </c>
      <c r="E1660" t="s">
        <v>2761</v>
      </c>
      <c r="H1660" t="str">
        <f t="shared" si="25"/>
        <v>Adds all damaging areas to the selected set</v>
      </c>
    </row>
    <row r="1661" spans="1:12" x14ac:dyDescent="0.25">
      <c r="A1661" t="s">
        <v>5251</v>
      </c>
      <c r="C1661" t="s">
        <v>2762</v>
      </c>
      <c r="D1661" t="s">
        <v>25</v>
      </c>
      <c r="E1661" t="s">
        <v>2763</v>
      </c>
      <c r="H1661" t="str">
        <f t="shared" si="25"/>
        <v>Selects any areas that intersect the given half-space.</v>
      </c>
    </row>
    <row r="1662" spans="1:12" x14ac:dyDescent="0.25">
      <c r="A1662" t="s">
        <v>5251</v>
      </c>
      <c r="C1662" t="s">
        <v>2764</v>
      </c>
      <c r="D1662" t="s">
        <v>25</v>
      </c>
      <c r="E1662" t="s">
        <v>2765</v>
      </c>
      <c r="H1662" t="str">
        <f t="shared" si="25"/>
        <v>Adds all invalid areas to the Selected Set.</v>
      </c>
    </row>
    <row r="1663" spans="1:12" x14ac:dyDescent="0.25">
      <c r="A1663" t="s">
        <v>5251</v>
      </c>
      <c r="C1663" t="s">
        <v>2766</v>
      </c>
      <c r="D1663" t="s">
        <v>25</v>
      </c>
      <c r="E1663" t="s">
        <v>2767</v>
      </c>
      <c r="H1663" t="str">
        <f t="shared" si="25"/>
        <v>Adds all obstructed areas to the selected set</v>
      </c>
    </row>
    <row r="1664" spans="1:12" x14ac:dyDescent="0.25">
      <c r="A1664" t="s">
        <v>5251</v>
      </c>
      <c r="C1664" t="s">
        <v>2768</v>
      </c>
      <c r="D1664" t="s">
        <v>25</v>
      </c>
      <c r="E1664" t="s">
        <v>2769</v>
      </c>
      <c r="H1664" t="str">
        <f t="shared" si="25"/>
        <v>Selects nav areas that are overlapping others.</v>
      </c>
    </row>
    <row r="1665" spans="1:12" x14ac:dyDescent="0.25">
      <c r="A1665" t="s">
        <v>5251</v>
      </c>
      <c r="C1665" t="s">
        <v>2770</v>
      </c>
      <c r="D1665" t="s">
        <v>25</v>
      </c>
      <c r="E1665" t="s">
        <v>2771</v>
      </c>
      <c r="H1665" t="str">
        <f t="shared" si="25"/>
        <v>Adds all areas in a radius to the selection set</v>
      </c>
    </row>
    <row r="1666" spans="1:12" x14ac:dyDescent="0.25">
      <c r="A1666" t="s">
        <v>5251</v>
      </c>
      <c r="C1666" t="s">
        <v>2772</v>
      </c>
      <c r="D1666" t="s">
        <v>25</v>
      </c>
      <c r="E1666" t="s">
        <v>2773</v>
      </c>
      <c r="H1666" t="str">
        <f t="shared" si="25"/>
        <v>Adds all stairway areas to the selected set</v>
      </c>
    </row>
    <row r="1667" spans="1:12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tr">
        <f t="shared" ref="H1667:H1730" si="26">IF(F1667="",E1667, F1667 &amp; " - Original Helptext: " &amp;E1667)</f>
        <v>Color used to draw the selected set borders while editing.</v>
      </c>
      <c r="K1667" t="s">
        <v>4</v>
      </c>
      <c r="L1667" t="s">
        <v>5</v>
      </c>
    </row>
    <row r="1668" spans="1:12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tr">
        <f t="shared" si="26"/>
        <v>Color used to draw the selected set background while editing.</v>
      </c>
      <c r="K1668" t="s">
        <v>4</v>
      </c>
      <c r="L1668" t="s">
        <v>5</v>
      </c>
    </row>
    <row r="1669" spans="1:12" x14ac:dyDescent="0.25">
      <c r="A1669" t="s">
        <v>5251</v>
      </c>
      <c r="C1669" t="s">
        <v>2778</v>
      </c>
      <c r="D1669" t="s">
        <v>25</v>
      </c>
      <c r="E1669" t="s">
        <v>2779</v>
      </c>
      <c r="H1669" t="str">
        <f t="shared" si="26"/>
        <v>Sets the editor into or out of Place mode. Place mode allows labelling of Area with Place names.</v>
      </c>
    </row>
    <row r="1670" spans="1:12" x14ac:dyDescent="0.25">
      <c r="A1670" t="s">
        <v>5251</v>
      </c>
      <c r="C1670" t="s">
        <v>2780</v>
      </c>
      <c r="D1670" t="s">
        <v>25</v>
      </c>
      <c r="E1670" t="s">
        <v>2781</v>
      </c>
      <c r="H1670" t="str">
        <f t="shared" si="26"/>
        <v>Shifts the selected areas by the specified amount</v>
      </c>
    </row>
    <row r="1671" spans="1:12" x14ac:dyDescent="0.25">
      <c r="A1671" t="s">
        <v>5251</v>
      </c>
      <c r="C1671" t="s">
        <v>2782</v>
      </c>
      <c r="D1671">
        <v>0</v>
      </c>
      <c r="E1671" t="s">
        <v>2783</v>
      </c>
      <c r="H1671" t="str">
        <f t="shared" si="26"/>
        <v>Show Approach Points in the Navigation Mesh.</v>
      </c>
      <c r="K1671" t="s">
        <v>4</v>
      </c>
      <c r="L1671" t="s">
        <v>5</v>
      </c>
    </row>
    <row r="1672" spans="1:12" x14ac:dyDescent="0.25">
      <c r="A1672" t="s">
        <v>5251</v>
      </c>
      <c r="C1672" t="s">
        <v>2784</v>
      </c>
      <c r="D1672">
        <v>0</v>
      </c>
      <c r="E1672" t="s">
        <v>2785</v>
      </c>
      <c r="H1672" t="str">
        <f t="shared" si="26"/>
        <v>Duration in seconds to show nav area ID and attributes while editing</v>
      </c>
      <c r="K1672" t="s">
        <v>4</v>
      </c>
      <c r="L1672" t="s">
        <v>5</v>
      </c>
    </row>
    <row r="1673" spans="1:12" x14ac:dyDescent="0.25">
      <c r="A1673" t="s">
        <v>5251</v>
      </c>
      <c r="C1673" t="s">
        <v>2786</v>
      </c>
      <c r="D1673">
        <v>0</v>
      </c>
      <c r="H1673">
        <f t="shared" si="26"/>
        <v>0</v>
      </c>
      <c r="K1673" t="s">
        <v>4</v>
      </c>
      <c r="L1673" t="s">
        <v>5</v>
      </c>
    </row>
    <row r="1674" spans="1:12" x14ac:dyDescent="0.25">
      <c r="A1674" t="s">
        <v>5251</v>
      </c>
      <c r="C1674" t="s">
        <v>2787</v>
      </c>
      <c r="D1674">
        <v>0</v>
      </c>
      <c r="E1674" t="s">
        <v>2788</v>
      </c>
      <c r="H1674" t="str">
        <f t="shared" si="26"/>
        <v>Highlight non-contiguous connections</v>
      </c>
      <c r="K1674" t="s">
        <v>4</v>
      </c>
      <c r="L1674" t="s">
        <v>5</v>
      </c>
    </row>
    <row r="1675" spans="1:12" x14ac:dyDescent="0.25">
      <c r="A1675" t="s">
        <v>5251</v>
      </c>
      <c r="C1675" t="s">
        <v>2789</v>
      </c>
      <c r="D1675">
        <v>0</v>
      </c>
      <c r="E1675" t="s">
        <v>2790</v>
      </c>
      <c r="H1675" t="str">
        <f t="shared" si="26"/>
        <v>Show current 'danger' levels.</v>
      </c>
      <c r="K1675" t="s">
        <v>4</v>
      </c>
      <c r="L1675" t="s">
        <v>5</v>
      </c>
    </row>
    <row r="1676" spans="1:12" x14ac:dyDescent="0.25">
      <c r="A1676" t="s">
        <v>5251</v>
      </c>
      <c r="C1676" t="s">
        <v>2791</v>
      </c>
      <c r="D1676">
        <v>0</v>
      </c>
      <c r="H1676">
        <f t="shared" si="26"/>
        <v>0</v>
      </c>
      <c r="K1676" t="s">
        <v>4</v>
      </c>
      <c r="L1676" t="s">
        <v>5</v>
      </c>
    </row>
    <row r="1677" spans="1:12" x14ac:dyDescent="0.25">
      <c r="A1677" t="s">
        <v>5251</v>
      </c>
      <c r="C1677" t="s">
        <v>2792</v>
      </c>
      <c r="D1677">
        <v>0</v>
      </c>
      <c r="H1677">
        <f t="shared" si="26"/>
        <v>0</v>
      </c>
      <c r="K1677" t="s">
        <v>4</v>
      </c>
      <c r="L1677" t="s">
        <v>5</v>
      </c>
    </row>
    <row r="1678" spans="1:12" x14ac:dyDescent="0.25">
      <c r="A1678" t="s">
        <v>5251</v>
      </c>
      <c r="C1678" t="s">
        <v>2793</v>
      </c>
      <c r="D1678">
        <v>0</v>
      </c>
      <c r="H1678">
        <f t="shared" si="26"/>
        <v>0</v>
      </c>
      <c r="K1678" t="s">
        <v>4</v>
      </c>
      <c r="L1678" t="s">
        <v>5</v>
      </c>
    </row>
    <row r="1679" spans="1:12" x14ac:dyDescent="0.25">
      <c r="A1679" t="s">
        <v>5251</v>
      </c>
      <c r="C1679" t="s">
        <v>2794</v>
      </c>
      <c r="D1679">
        <v>0</v>
      </c>
      <c r="H1679">
        <f t="shared" si="26"/>
        <v>0</v>
      </c>
      <c r="K1679" t="s">
        <v>4</v>
      </c>
      <c r="L1679" t="s">
        <v>5</v>
      </c>
    </row>
    <row r="1680" spans="1:12" x14ac:dyDescent="0.25">
      <c r="A1680" t="s">
        <v>5251</v>
      </c>
      <c r="C1680" t="s">
        <v>2795</v>
      </c>
      <c r="D1680">
        <v>0</v>
      </c>
      <c r="E1680" t="s">
        <v>2796</v>
      </c>
      <c r="H1680" t="str">
        <f t="shared" si="26"/>
        <v>Show current player counts in each area.</v>
      </c>
      <c r="K1680" t="s">
        <v>4</v>
      </c>
      <c r="L1680" t="s">
        <v>5</v>
      </c>
    </row>
    <row r="1681" spans="1:12" x14ac:dyDescent="0.25">
      <c r="A1681" t="s">
        <v>5251</v>
      </c>
      <c r="C1681" t="s">
        <v>2797</v>
      </c>
      <c r="D1681">
        <v>0</v>
      </c>
      <c r="E1681" t="s">
        <v>2798</v>
      </c>
      <c r="H1681" t="str">
        <f t="shared" si="26"/>
        <v>Show areas that are potentially visible from the current nav area</v>
      </c>
      <c r="K1681" t="s">
        <v>4</v>
      </c>
      <c r="L1681" t="s">
        <v>5</v>
      </c>
    </row>
    <row r="1682" spans="1:12" x14ac:dyDescent="0.25">
      <c r="A1682" t="s">
        <v>5251</v>
      </c>
      <c r="C1682" t="s">
        <v>2799</v>
      </c>
      <c r="D1682" t="s">
        <v>25</v>
      </c>
      <c r="E1682" t="s">
        <v>2800</v>
      </c>
      <c r="H1682" t="str">
        <f t="shared" si="26"/>
        <v>Chops all selected areas into their component 1x1 areas and re-merges them together into larger areas</v>
      </c>
    </row>
    <row r="1683" spans="1:12" x14ac:dyDescent="0.25">
      <c r="A1683" t="s">
        <v>5251</v>
      </c>
      <c r="C1683" t="s">
        <v>2801</v>
      </c>
      <c r="D1683">
        <v>0</v>
      </c>
      <c r="E1683" t="s">
        <v>2802</v>
      </c>
      <c r="H1683" t="str">
        <f t="shared" si="26"/>
        <v>The ground unit normal's Z component must be greater than this for nav areas to be generated.</v>
      </c>
      <c r="K1683" t="s">
        <v>4</v>
      </c>
      <c r="L1683" t="s">
        <v>5</v>
      </c>
    </row>
    <row r="1684" spans="1:12" x14ac:dyDescent="0.25">
      <c r="A1684" t="s">
        <v>5251</v>
      </c>
      <c r="C1684" t="s">
        <v>2803</v>
      </c>
      <c r="D1684">
        <v>0</v>
      </c>
      <c r="E1684" t="s">
        <v>2804</v>
      </c>
      <c r="H1684" t="str">
        <f t="shared" si="26"/>
        <v>The ground unit normal's Z component must be this close to the nav area's Z component to be generated.</v>
      </c>
      <c r="K1684" t="s">
        <v>4</v>
      </c>
      <c r="L1684" t="s">
        <v>5</v>
      </c>
    </row>
    <row r="1685" spans="1:12" x14ac:dyDescent="0.25">
      <c r="A1685" t="s">
        <v>5251</v>
      </c>
      <c r="C1685" t="s">
        <v>2805</v>
      </c>
      <c r="D1685">
        <v>0</v>
      </c>
      <c r="E1685" t="s">
        <v>2806</v>
      </c>
      <c r="H1685" t="str">
        <f t="shared" si="26"/>
        <v>Snap to the nav generation grid when creating new nav areas</v>
      </c>
      <c r="K1685" t="s">
        <v>4</v>
      </c>
      <c r="L1685" t="s">
        <v>5</v>
      </c>
    </row>
    <row r="1686" spans="1:12" x14ac:dyDescent="0.25">
      <c r="A1686" t="s">
        <v>5251</v>
      </c>
      <c r="C1686" t="s">
        <v>2807</v>
      </c>
      <c r="D1686">
        <v>0</v>
      </c>
      <c r="E1686" t="s">
        <v>2808</v>
      </c>
      <c r="H1686" t="str">
        <f t="shared" si="26"/>
        <v>Make props solid to nav generation/editing</v>
      </c>
      <c r="K1686" t="s">
        <v>4</v>
      </c>
      <c r="L1686" t="s">
        <v>5</v>
      </c>
    </row>
    <row r="1687" spans="1:12" x14ac:dyDescent="0.25">
      <c r="A1687" t="s">
        <v>5251</v>
      </c>
      <c r="C1687" t="s">
        <v>2809</v>
      </c>
      <c r="D1687" t="s">
        <v>25</v>
      </c>
      <c r="E1687" t="s">
        <v>2810</v>
      </c>
      <c r="H1687" t="str">
        <f t="shared" si="26"/>
        <v>To splice, mark an area, highlight a second area, then invoke the splice command to create a new, connected area between them.</v>
      </c>
    </row>
    <row r="1688" spans="1:12" x14ac:dyDescent="0.25">
      <c r="A1688" t="s">
        <v>5251</v>
      </c>
      <c r="C1688" t="s">
        <v>2811</v>
      </c>
      <c r="D1688" t="s">
        <v>25</v>
      </c>
      <c r="E1688" t="s">
        <v>2812</v>
      </c>
      <c r="H1688" t="str">
        <f t="shared" si="26"/>
        <v>To split an Area into two, align the split line using your cursor and invoke the split command.</v>
      </c>
    </row>
    <row r="1689" spans="1:12" x14ac:dyDescent="0.25">
      <c r="A1689" t="s">
        <v>5251</v>
      </c>
      <c r="C1689" t="s">
        <v>2813</v>
      </c>
      <c r="D1689">
        <v>0</v>
      </c>
      <c r="E1689" t="s">
        <v>2814</v>
      </c>
      <c r="H1689" t="str">
        <f t="shared" si="26"/>
        <v>If true, nav areas will be placed flush with the ground when split.</v>
      </c>
      <c r="K1689" t="s">
        <v>4</v>
      </c>
      <c r="L1689" t="s">
        <v>5</v>
      </c>
    </row>
    <row r="1690" spans="1:12" x14ac:dyDescent="0.25">
      <c r="A1690" t="s">
        <v>5251</v>
      </c>
      <c r="C1690" t="s">
        <v>2815</v>
      </c>
      <c r="D1690" t="s">
        <v>25</v>
      </c>
      <c r="E1690" t="s">
        <v>2816</v>
      </c>
      <c r="H1690" t="str">
        <f t="shared" si="26"/>
        <v>Toggles the 'stand while hiding' flag used by the AI system.</v>
      </c>
    </row>
    <row r="1691" spans="1:12" x14ac:dyDescent="0.25">
      <c r="A1691" t="s">
        <v>5251</v>
      </c>
      <c r="C1691" t="s">
        <v>2817</v>
      </c>
      <c r="D1691" t="s">
        <v>25</v>
      </c>
      <c r="E1691" t="s">
        <v>2818</v>
      </c>
      <c r="H1691" t="str">
        <f t="shared" si="26"/>
        <v>Toggles the 'must stop when entering this area' flag used by the AI system.</v>
      </c>
    </row>
    <row r="1692" spans="1:12" x14ac:dyDescent="0.25">
      <c r="A1692" t="s">
        <v>5251</v>
      </c>
      <c r="C1692" t="s">
        <v>2819</v>
      </c>
      <c r="D1692" t="s">
        <v>25</v>
      </c>
      <c r="E1692" t="s">
        <v>2820</v>
      </c>
      <c r="H1692" t="str">
        <f t="shared" si="26"/>
        <v>Stores the current selected set for later retrieval.</v>
      </c>
    </row>
    <row r="1693" spans="1:12" x14ac:dyDescent="0.25">
      <c r="A1693" t="s">
        <v>5251</v>
      </c>
      <c r="C1693" t="s">
        <v>2821</v>
      </c>
      <c r="D1693" t="s">
        <v>25</v>
      </c>
      <c r="E1693" t="s">
        <v>2822</v>
      </c>
      <c r="H1693" t="str">
        <f t="shared" si="26"/>
        <v>Strips all Hiding Spots, Approach Points, and Encounter Spots from the current Area.</v>
      </c>
    </row>
    <row r="1694" spans="1:12" x14ac:dyDescent="0.25">
      <c r="A1694" t="s">
        <v>5251</v>
      </c>
      <c r="C1694" t="s">
        <v>2823</v>
      </c>
      <c r="D1694" t="s">
        <v>25</v>
      </c>
      <c r="E1694" t="s">
        <v>2824</v>
      </c>
      <c r="H1694" t="str">
        <f t="shared" si="26"/>
        <v>Subdivides all selected areas.</v>
      </c>
    </row>
    <row r="1695" spans="1:12" x14ac:dyDescent="0.25">
      <c r="A1695" t="s">
        <v>5251</v>
      </c>
      <c r="C1695" t="s">
        <v>2825</v>
      </c>
      <c r="D1695">
        <v>0</v>
      </c>
      <c r="H1695">
        <f t="shared" si="26"/>
        <v>0</v>
      </c>
      <c r="K1695" t="s">
        <v>4</v>
      </c>
      <c r="L1695" t="s">
        <v>5</v>
      </c>
    </row>
    <row r="1696" spans="1:12" x14ac:dyDescent="0.25">
      <c r="A1696" t="s">
        <v>5251</v>
      </c>
      <c r="C1696" t="s">
        <v>2826</v>
      </c>
      <c r="D1696">
        <v>0</v>
      </c>
      <c r="H1696">
        <f t="shared" si="26"/>
        <v>0</v>
      </c>
      <c r="K1696" t="s">
        <v>4</v>
      </c>
      <c r="L1696" t="s">
        <v>5</v>
      </c>
    </row>
    <row r="1697" spans="1:12" x14ac:dyDescent="0.25">
      <c r="A1697" t="s">
        <v>5251</v>
      </c>
      <c r="C1697" t="s">
        <v>2827</v>
      </c>
      <c r="D1697">
        <v>4</v>
      </c>
      <c r="H1697">
        <f t="shared" si="26"/>
        <v>0</v>
      </c>
      <c r="K1697" t="s">
        <v>4</v>
      </c>
      <c r="L1697" t="s">
        <v>5</v>
      </c>
    </row>
    <row r="1698" spans="1:12" x14ac:dyDescent="0.25">
      <c r="A1698" t="s">
        <v>5251</v>
      </c>
      <c r="C1698" t="s">
        <v>2828</v>
      </c>
      <c r="D1698" t="s">
        <v>25</v>
      </c>
      <c r="E1698" t="s">
        <v>2829</v>
      </c>
      <c r="H1698" t="str">
        <f t="shared" si="26"/>
        <v>Test the selected set for being on stairs</v>
      </c>
    </row>
    <row r="1699" spans="1:12" x14ac:dyDescent="0.25">
      <c r="A1699" t="s">
        <v>5251</v>
      </c>
      <c r="C1699" t="s">
        <v>2830</v>
      </c>
      <c r="D1699" t="s">
        <v>25</v>
      </c>
      <c r="E1699" t="s">
        <v>2831</v>
      </c>
      <c r="H1699" t="str">
        <f t="shared" si="26"/>
        <v>Start or stop continuously removing from the selected set.</v>
      </c>
    </row>
    <row r="1700" spans="1:12" x14ac:dyDescent="0.25">
      <c r="A1700" t="s">
        <v>5251</v>
      </c>
      <c r="C1700" t="s">
        <v>2832</v>
      </c>
      <c r="D1700" t="s">
        <v>25</v>
      </c>
      <c r="E1700" t="s">
        <v>2749</v>
      </c>
      <c r="H1700" t="str">
        <f t="shared" si="26"/>
        <v>Remove current area from the selected set.</v>
      </c>
    </row>
    <row r="1701" spans="1:12" x14ac:dyDescent="0.25">
      <c r="A1701" t="s">
        <v>5251</v>
      </c>
      <c r="C1701" t="s">
        <v>2833</v>
      </c>
      <c r="D1701" t="s">
        <v>25</v>
      </c>
      <c r="E1701" t="s">
        <v>2834</v>
      </c>
      <c r="H1701" t="str">
        <f t="shared" si="26"/>
        <v>Toggle the editor into and out of Place mode. Place mode allows labelling of Area with Place names.</v>
      </c>
    </row>
    <row r="1702" spans="1:12" x14ac:dyDescent="0.25">
      <c r="A1702" t="s">
        <v>5251</v>
      </c>
      <c r="C1702" t="s">
        <v>2835</v>
      </c>
      <c r="D1702" t="s">
        <v>25</v>
      </c>
      <c r="E1702" t="s">
        <v>2836</v>
      </c>
      <c r="H1702" t="str">
        <f t="shared" si="26"/>
        <v>Toggles Place Painting mode. When Place Painting, pointing at an Area will 'paint' it with the current Place.</v>
      </c>
    </row>
    <row r="1703" spans="1:12" x14ac:dyDescent="0.25">
      <c r="A1703" t="s">
        <v>5251</v>
      </c>
      <c r="C1703" t="s">
        <v>2837</v>
      </c>
      <c r="D1703" t="s">
        <v>25</v>
      </c>
      <c r="E1703" t="s">
        <v>2838</v>
      </c>
      <c r="H1703" t="str">
        <f t="shared" si="26"/>
        <v>Toggles all areas into/out of the selected set.</v>
      </c>
    </row>
    <row r="1704" spans="1:12" x14ac:dyDescent="0.25">
      <c r="A1704" t="s">
        <v>5251</v>
      </c>
      <c r="C1704" t="s">
        <v>2839</v>
      </c>
      <c r="D1704" t="s">
        <v>25</v>
      </c>
      <c r="E1704" t="s">
        <v>2840</v>
      </c>
      <c r="H1704" t="str">
        <f t="shared" si="26"/>
        <v>Start or stop continuously adding to the selected set.</v>
      </c>
    </row>
    <row r="1705" spans="1:12" x14ac:dyDescent="0.25">
      <c r="A1705" t="s">
        <v>5251</v>
      </c>
      <c r="C1705" t="s">
        <v>2841</v>
      </c>
      <c r="D1705" t="s">
        <v>25</v>
      </c>
      <c r="E1705" t="s">
        <v>2842</v>
      </c>
      <c r="H1705" t="str">
        <f t="shared" si="26"/>
        <v>Toggles the 'area is transient and may become blocked' flag used by the AI system.</v>
      </c>
    </row>
    <row r="1706" spans="1:12" x14ac:dyDescent="0.25">
      <c r="A1706" t="s">
        <v>5251</v>
      </c>
      <c r="C1706" t="s">
        <v>2843</v>
      </c>
      <c r="D1706" t="s">
        <v>25</v>
      </c>
      <c r="E1706" t="s">
        <v>2844</v>
      </c>
      <c r="H1706" t="str">
        <f t="shared" si="26"/>
        <v>Clears the marked Area or Ladder.</v>
      </c>
    </row>
    <row r="1707" spans="1:12" x14ac:dyDescent="0.25">
      <c r="A1707" t="s">
        <v>5251</v>
      </c>
      <c r="C1707" t="s">
        <v>2845</v>
      </c>
      <c r="D1707" t="s">
        <v>25</v>
      </c>
      <c r="E1707" t="s">
        <v>2623</v>
      </c>
      <c r="H1707" t="str">
        <f t="shared" si="26"/>
        <v>Updates the blocked/unblocked status for every nav area.</v>
      </c>
    </row>
    <row r="1708" spans="1:12" x14ac:dyDescent="0.25">
      <c r="A1708" t="s">
        <v>5251</v>
      </c>
      <c r="C1708" t="s">
        <v>2846</v>
      </c>
      <c r="D1708" t="s">
        <v>25</v>
      </c>
      <c r="E1708" t="s">
        <v>2847</v>
      </c>
      <c r="H1708" t="str">
        <f t="shared" si="26"/>
        <v>Recomputes lighting values</v>
      </c>
    </row>
    <row r="1709" spans="1:12" x14ac:dyDescent="0.25">
      <c r="A1709" t="s">
        <v>5251</v>
      </c>
      <c r="C1709" t="s">
        <v>2848</v>
      </c>
      <c r="D1709">
        <v>0</v>
      </c>
      <c r="E1709" t="s">
        <v>2849</v>
      </c>
      <c r="H1709" t="str">
        <f t="shared" si="26"/>
        <v>If nonzero editing the mesh will incrementally recompue visibility</v>
      </c>
      <c r="K1709" t="s">
        <v>4</v>
      </c>
      <c r="L1709" t="s">
        <v>5</v>
      </c>
    </row>
    <row r="1710" spans="1:12" x14ac:dyDescent="0.25">
      <c r="A1710" t="s">
        <v>5251</v>
      </c>
      <c r="C1710" t="s">
        <v>2850</v>
      </c>
      <c r="D1710" t="s">
        <v>25</v>
      </c>
      <c r="E1710" t="s">
        <v>2851</v>
      </c>
      <c r="H1710" t="str">
        <f t="shared" si="26"/>
        <v>If used without arguments, all available Places will be listed. If a Place argument is given, the current Place is set.</v>
      </c>
    </row>
    <row r="1711" spans="1:12" x14ac:dyDescent="0.25">
      <c r="A1711" t="s">
        <v>5251</v>
      </c>
      <c r="C1711" t="s">
        <v>2852</v>
      </c>
      <c r="D1711" t="s">
        <v>25</v>
      </c>
      <c r="E1711" t="s">
        <v>2853</v>
      </c>
      <c r="H1711" t="str">
        <f t="shared" si="26"/>
        <v>Toggles the 'traverse this area by walking' flag used by the AI system.</v>
      </c>
    </row>
    <row r="1712" spans="1:12" x14ac:dyDescent="0.25">
      <c r="A1712" t="s">
        <v>5251</v>
      </c>
      <c r="C1712" t="s">
        <v>2854</v>
      </c>
      <c r="D1712" t="s">
        <v>25</v>
      </c>
      <c r="E1712" t="s">
        <v>2855</v>
      </c>
      <c r="H1712" t="str">
        <f t="shared" si="26"/>
        <v>Warps the player to the marked area.</v>
      </c>
    </row>
    <row r="1713" spans="1:24" x14ac:dyDescent="0.25">
      <c r="A1713" t="s">
        <v>5251</v>
      </c>
      <c r="C1713" t="s">
        <v>2856</v>
      </c>
      <c r="D1713" t="s">
        <v>25</v>
      </c>
      <c r="E1713" t="s">
        <v>2857</v>
      </c>
      <c r="H1713" t="str">
        <f t="shared" si="26"/>
        <v>Centers the nav mesh in the world</v>
      </c>
    </row>
    <row r="1714" spans="1:24" x14ac:dyDescent="0.25">
      <c r="A1714" t="s">
        <v>5251</v>
      </c>
      <c r="C1714" t="s">
        <v>2858</v>
      </c>
      <c r="D1714">
        <v>1</v>
      </c>
      <c r="H1714">
        <f t="shared" si="26"/>
        <v>0</v>
      </c>
      <c r="I1714" t="s">
        <v>2</v>
      </c>
    </row>
    <row r="1715" spans="1:24" x14ac:dyDescent="0.25">
      <c r="A1715" t="s">
        <v>5251</v>
      </c>
      <c r="C1715" t="s">
        <v>2859</v>
      </c>
      <c r="D1715">
        <v>0</v>
      </c>
      <c r="E1715" t="s">
        <v>2860</v>
      </c>
      <c r="H1715" t="str">
        <f t="shared" si="26"/>
        <v>Discards incoming message: &lt;0|1|name&gt;</v>
      </c>
      <c r="L1715" t="s">
        <v>5</v>
      </c>
    </row>
    <row r="1716" spans="1:24" x14ac:dyDescent="0.25">
      <c r="A1716" t="s">
        <v>5251</v>
      </c>
      <c r="C1716" t="s">
        <v>2861</v>
      </c>
      <c r="D1716">
        <v>0</v>
      </c>
      <c r="E1716" t="s">
        <v>2862</v>
      </c>
      <c r="H1716" t="str">
        <f t="shared" si="26"/>
        <v>Netchannel processing is limited to so many milliseconds, abort connection if exceeding budget</v>
      </c>
    </row>
    <row r="1717" spans="1:24" x14ac:dyDescent="0.25">
      <c r="A1717" t="s">
        <v>5251</v>
      </c>
      <c r="C1717" t="s">
        <v>2863</v>
      </c>
      <c r="D1717">
        <v>0</v>
      </c>
      <c r="E1717" t="s">
        <v>2864</v>
      </c>
      <c r="H1717" t="str">
        <f t="shared" si="26"/>
        <v>Netchannel statistics will dump in the logs upon request</v>
      </c>
    </row>
    <row r="1718" spans="1:24" x14ac:dyDescent="0.25">
      <c r="A1718" t="s">
        <v>5251</v>
      </c>
      <c r="C1718" t="s">
        <v>2865</v>
      </c>
      <c r="D1718">
        <v>5</v>
      </c>
      <c r="E1718" t="s">
        <v>2866</v>
      </c>
      <c r="H1718" t="str">
        <f t="shared" si="26"/>
        <v>Netchannel statistics will dump so many top messages in each category</v>
      </c>
    </row>
    <row r="1719" spans="1:24" x14ac:dyDescent="0.25">
      <c r="A1719" t="s">
        <v>5251</v>
      </c>
      <c r="C1719" t="s">
        <v>2867</v>
      </c>
      <c r="D1719">
        <v>3</v>
      </c>
      <c r="E1719" t="s">
        <v>2868</v>
      </c>
      <c r="H1719" t="str">
        <f t="shared" si="26"/>
        <v>Netchannel statistics LRU accumulation buffer size</v>
      </c>
    </row>
    <row r="1720" spans="1:24" x14ac:dyDescent="0.25">
      <c r="A1720" t="s">
        <v>5251</v>
      </c>
      <c r="C1720" t="s">
        <v>2869</v>
      </c>
      <c r="D1720" t="s">
        <v>25</v>
      </c>
      <c r="E1720" t="s">
        <v>2870</v>
      </c>
      <c r="H1720" t="str">
        <f t="shared" si="26"/>
        <v>Shows net channel info</v>
      </c>
    </row>
    <row r="1721" spans="1:24" x14ac:dyDescent="0.25">
      <c r="A1721" t="s">
        <v>5251</v>
      </c>
      <c r="C1721" t="s">
        <v>2871</v>
      </c>
      <c r="D1721">
        <v>0</v>
      </c>
      <c r="E1721" t="s">
        <v>2872</v>
      </c>
      <c r="H1721" t="str">
        <f t="shared" si="26"/>
        <v>0: Use connect method requested by GC.  &gt;0: Always use SDR if possible.  &lt;0: Always use direct UDP if possible</v>
      </c>
      <c r="X1721" t="s">
        <v>17</v>
      </c>
    </row>
    <row r="1722" spans="1:24" x14ac:dyDescent="0.25">
      <c r="A1722" t="s">
        <v>5251</v>
      </c>
      <c r="C1722" t="s">
        <v>2873</v>
      </c>
      <c r="D1722" t="s">
        <v>25</v>
      </c>
      <c r="E1722" t="s">
        <v>2874</v>
      </c>
      <c r="H1722" t="str">
        <f t="shared" si="26"/>
        <v>Print detailed network statistics for each network connection</v>
      </c>
    </row>
    <row r="1723" spans="1:24" x14ac:dyDescent="0.25">
      <c r="A1723" t="s">
        <v>5251</v>
      </c>
      <c r="C1723" t="s">
        <v>2875</v>
      </c>
      <c r="D1723">
        <v>0</v>
      </c>
      <c r="E1723" t="s">
        <v>2876</v>
      </c>
      <c r="H1723" t="str">
        <f t="shared" si="26"/>
        <v>If enabled, channel will drop client when sending too much data causes buffer overrun</v>
      </c>
    </row>
    <row r="1724" spans="1:24" x14ac:dyDescent="0.25">
      <c r="A1724" t="s">
        <v>5251</v>
      </c>
      <c r="C1724" t="s">
        <v>2877</v>
      </c>
      <c r="D1724">
        <v>0</v>
      </c>
      <c r="E1724" t="s">
        <v>2878</v>
      </c>
      <c r="H1724" t="str">
        <f t="shared" si="26"/>
        <v>Drops next n packets on client</v>
      </c>
      <c r="L1724" t="s">
        <v>5</v>
      </c>
    </row>
    <row r="1725" spans="1:24" x14ac:dyDescent="0.25">
      <c r="A1725" t="s">
        <v>5251</v>
      </c>
      <c r="C1725" t="s">
        <v>2879</v>
      </c>
      <c r="D1725" t="s">
        <v>25</v>
      </c>
      <c r="E1725" t="s">
        <v>2880</v>
      </c>
      <c r="H1725" t="str">
        <f t="shared" si="26"/>
        <v>Dumps out a report of game event network usage</v>
      </c>
    </row>
    <row r="1726" spans="1:24" x14ac:dyDescent="0.25">
      <c r="A1726" t="s">
        <v>5251</v>
      </c>
      <c r="C1726" t="s">
        <v>2881</v>
      </c>
      <c r="D1726">
        <v>0</v>
      </c>
      <c r="H1726">
        <f t="shared" si="26"/>
        <v>0</v>
      </c>
      <c r="L1726" t="s">
        <v>5</v>
      </c>
    </row>
    <row r="1727" spans="1:24" x14ac:dyDescent="0.25">
      <c r="A1727" t="s">
        <v>5251</v>
      </c>
      <c r="C1727" t="s">
        <v>2882</v>
      </c>
      <c r="D1727">
        <v>0</v>
      </c>
      <c r="E1727" t="s">
        <v>2883</v>
      </c>
      <c r="H1727" t="str">
        <f t="shared" si="26"/>
        <v>Jitter fakelag packet time</v>
      </c>
      <c r="L1727" t="s">
        <v>5</v>
      </c>
    </row>
    <row r="1728" spans="1:24" x14ac:dyDescent="0.25">
      <c r="A1728" t="s">
        <v>5251</v>
      </c>
      <c r="C1728" t="s">
        <v>2884</v>
      </c>
      <c r="D1728">
        <v>0</v>
      </c>
      <c r="E1728" t="s">
        <v>2885</v>
      </c>
      <c r="H1728" t="str">
        <f t="shared" si="26"/>
        <v>Lag all incoming network data (including loopback) by this many milliseconds.</v>
      </c>
      <c r="L1728" t="s">
        <v>5</v>
      </c>
    </row>
    <row r="1729" spans="1:24" x14ac:dyDescent="0.25">
      <c r="A1729" t="s">
        <v>5251</v>
      </c>
      <c r="C1729" t="s">
        <v>2886</v>
      </c>
      <c r="D1729">
        <v>0</v>
      </c>
      <c r="E1729" t="s">
        <v>2887</v>
      </c>
      <c r="H1729" t="str">
        <f t="shared" si="26"/>
        <v>Simulate packet loss as a percentage (negative means drop 1/n packets)</v>
      </c>
      <c r="L1729" t="s">
        <v>5</v>
      </c>
    </row>
    <row r="1730" spans="1:24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H1730" t="str">
        <f t="shared" si="26"/>
        <v>Draw the network usage data, = 2 prints in/out data, = 3 draws data on payload,</v>
      </c>
      <c r="I1730" t="s">
        <v>2</v>
      </c>
      <c r="X1730" t="s">
        <v>17</v>
      </c>
    </row>
    <row r="1731" spans="1:24" x14ac:dyDescent="0.25">
      <c r="A1731" t="s">
        <v>5251</v>
      </c>
      <c r="C1731" t="s">
        <v>2890</v>
      </c>
      <c r="D1731">
        <v>64</v>
      </c>
      <c r="E1731" t="s">
        <v>2891</v>
      </c>
      <c r="H1731" t="str">
        <f t="shared" ref="H1731:H1794" si="27">IF(F1731="",E1731, F1731 &amp; " - Original Helptext: " &amp;E1731)</f>
        <v>Height of netgraph panel</v>
      </c>
      <c r="I1731" t="s">
        <v>2</v>
      </c>
      <c r="X1731" t="s">
        <v>17</v>
      </c>
    </row>
    <row r="1732" spans="1:24" x14ac:dyDescent="0.25">
      <c r="A1732" t="s">
        <v>5251</v>
      </c>
      <c r="C1732" t="s">
        <v>2892</v>
      </c>
      <c r="D1732">
        <v>0</v>
      </c>
      <c r="E1732" t="s">
        <v>2893</v>
      </c>
      <c r="H1732" t="str">
        <f t="shared" si="27"/>
        <v>Hold worst case in server framerate line.</v>
      </c>
      <c r="I1732" t="s">
        <v>2</v>
      </c>
      <c r="X1732" t="s">
        <v>17</v>
      </c>
    </row>
    <row r="1733" spans="1:24" x14ac:dyDescent="0.25">
      <c r="A1733" t="s">
        <v>5251</v>
      </c>
      <c r="C1733" t="s">
        <v>2894</v>
      </c>
      <c r="D1733">
        <v>0</v>
      </c>
      <c r="E1733" t="s">
        <v>2895</v>
      </c>
      <c r="H1733" t="str">
        <f t="shared" si="27"/>
        <v>Show IPCs on netgraph panel</v>
      </c>
      <c r="I1733" t="s">
        <v>2</v>
      </c>
      <c r="X1733" t="s">
        <v>17</v>
      </c>
    </row>
    <row r="1734" spans="1:24" x14ac:dyDescent="0.25">
      <c r="A1734" t="s">
        <v>5251</v>
      </c>
      <c r="C1734" t="s">
        <v>2896</v>
      </c>
      <c r="D1734">
        <v>400</v>
      </c>
      <c r="E1734" t="s">
        <v>2897</v>
      </c>
      <c r="H1734" t="str">
        <f t="shared" si="27"/>
        <v>The latency graph represents this many milliseconds.</v>
      </c>
      <c r="I1734" t="s">
        <v>2</v>
      </c>
      <c r="X1734" t="s">
        <v>17</v>
      </c>
    </row>
    <row r="1735" spans="1:24" x14ac:dyDescent="0.25">
      <c r="A1735" t="s">
        <v>5251</v>
      </c>
      <c r="C1735" t="s">
        <v>2898</v>
      </c>
      <c r="D1735">
        <v>1</v>
      </c>
      <c r="H1735">
        <f t="shared" si="27"/>
        <v>0</v>
      </c>
      <c r="I1735" t="s">
        <v>2</v>
      </c>
      <c r="X1735" t="s">
        <v>17</v>
      </c>
    </row>
    <row r="1736" spans="1:24" x14ac:dyDescent="0.25">
      <c r="A1736" t="s">
        <v>5251</v>
      </c>
      <c r="C1736" t="s">
        <v>2899</v>
      </c>
      <c r="D1736">
        <v>1</v>
      </c>
      <c r="E1736" t="s">
        <v>2900</v>
      </c>
      <c r="H1736" t="str">
        <f t="shared" si="27"/>
        <v>Determines whether netgraph font is proportional or not</v>
      </c>
      <c r="I1736" t="s">
        <v>2</v>
      </c>
      <c r="X1736" t="s">
        <v>17</v>
      </c>
    </row>
    <row r="1737" spans="1:24" x14ac:dyDescent="0.25">
      <c r="A1737" t="s">
        <v>5251</v>
      </c>
      <c r="C1737" t="s">
        <v>2901</v>
      </c>
      <c r="D1737">
        <v>1</v>
      </c>
      <c r="E1737" t="s">
        <v>2902</v>
      </c>
      <c r="H1737" t="str">
        <f t="shared" si="27"/>
        <v>Draw the interpolation graph.</v>
      </c>
      <c r="I1737" t="s">
        <v>2</v>
      </c>
      <c r="X1737" t="s">
        <v>17</v>
      </c>
    </row>
    <row r="1738" spans="1:24" x14ac:dyDescent="0.25">
      <c r="A1738" t="s">
        <v>5251</v>
      </c>
      <c r="C1738" t="s">
        <v>2903</v>
      </c>
      <c r="D1738">
        <v>1</v>
      </c>
      <c r="E1738" t="s">
        <v>2904</v>
      </c>
      <c r="H1738" t="str">
        <f t="shared" si="27"/>
        <v>Draw the ping/packet loss graph.</v>
      </c>
      <c r="I1738" t="s">
        <v>2</v>
      </c>
      <c r="X1738" t="s">
        <v>17</v>
      </c>
    </row>
    <row r="1739" spans="1:24" x14ac:dyDescent="0.25">
      <c r="A1739" t="s">
        <v>5251</v>
      </c>
      <c r="C1739" t="s">
        <v>2905</v>
      </c>
      <c r="D1739">
        <v>0</v>
      </c>
      <c r="E1739" t="s">
        <v>2906</v>
      </c>
      <c r="H1739" t="str">
        <f t="shared" si="27"/>
        <v>Draw the server framerate graph.</v>
      </c>
      <c r="I1739" t="s">
        <v>2</v>
      </c>
      <c r="X1739" t="s">
        <v>17</v>
      </c>
    </row>
    <row r="1740" spans="1:24" x14ac:dyDescent="0.25">
      <c r="A1740" t="s">
        <v>5251</v>
      </c>
      <c r="C1740" t="s">
        <v>2907</v>
      </c>
      <c r="D1740">
        <v>1</v>
      </c>
      <c r="H1740">
        <f t="shared" si="27"/>
        <v>0</v>
      </c>
      <c r="I1740" t="s">
        <v>2</v>
      </c>
      <c r="X1740" t="s">
        <v>17</v>
      </c>
    </row>
    <row r="1741" spans="1:24" x14ac:dyDescent="0.25">
      <c r="A1741" t="s">
        <v>5251</v>
      </c>
      <c r="C1741" t="s">
        <v>2908</v>
      </c>
      <c r="D1741">
        <v>1</v>
      </c>
      <c r="E1741" t="s">
        <v>2909</v>
      </c>
      <c r="H1741" t="str">
        <f t="shared" si="27"/>
        <v>Draw text fields</v>
      </c>
      <c r="I1741" t="s">
        <v>2</v>
      </c>
      <c r="X1741" t="s">
        <v>17</v>
      </c>
    </row>
    <row r="1742" spans="1:24" x14ac:dyDescent="0.25">
      <c r="A1742" t="s">
        <v>5251</v>
      </c>
      <c r="C1742" t="s">
        <v>2910</v>
      </c>
      <c r="D1742">
        <v>1200</v>
      </c>
      <c r="E1742" t="s">
        <v>2911</v>
      </c>
      <c r="H1742" t="str">
        <f t="shared" si="27"/>
        <v>Requested max packet size before packets are 'split'.</v>
      </c>
      <c r="I1742" t="s">
        <v>2</v>
      </c>
      <c r="M1742" t="s">
        <v>6</v>
      </c>
    </row>
    <row r="1743" spans="1:24" x14ac:dyDescent="0.25">
      <c r="A1743" t="s">
        <v>5251</v>
      </c>
      <c r="C1743" t="s">
        <v>2912</v>
      </c>
      <c r="D1743">
        <v>0</v>
      </c>
      <c r="E1743" t="s">
        <v>2913</v>
      </c>
      <c r="H1743" t="str">
        <f t="shared" si="27"/>
        <v>For servers behind NAT/DHCP meant to be exposed to the public internet, this is the public facing ip address string: ('x.x.x.x'</v>
      </c>
    </row>
    <row r="1744" spans="1:24" x14ac:dyDescent="0.25">
      <c r="A1744" t="s">
        <v>5251</v>
      </c>
      <c r="C1744" t="s">
        <v>2914</v>
      </c>
      <c r="D1744">
        <v>5</v>
      </c>
      <c r="H1744">
        <f t="shared" si="27"/>
        <v>0</v>
      </c>
      <c r="I1744" t="s">
        <v>2</v>
      </c>
      <c r="X1744" t="s">
        <v>17</v>
      </c>
    </row>
    <row r="1745" spans="1:12" x14ac:dyDescent="0.25">
      <c r="A1745" t="s">
        <v>5251</v>
      </c>
      <c r="C1745" t="s">
        <v>2915</v>
      </c>
      <c r="D1745">
        <v>0</v>
      </c>
      <c r="H1745">
        <f t="shared" si="27"/>
        <v>0</v>
      </c>
      <c r="L1745" t="s">
        <v>5</v>
      </c>
    </row>
    <row r="1746" spans="1:12" x14ac:dyDescent="0.25">
      <c r="A1746" t="s">
        <v>5251</v>
      </c>
      <c r="C1746" t="s">
        <v>2916</v>
      </c>
      <c r="D1746">
        <v>0</v>
      </c>
      <c r="E1746" t="s">
        <v>2917</v>
      </c>
      <c r="H1746" t="str">
        <f t="shared" si="27"/>
        <v>Show info about packet splits</v>
      </c>
    </row>
    <row r="1747" spans="1:12" x14ac:dyDescent="0.25">
      <c r="A1747" t="s">
        <v>5251</v>
      </c>
      <c r="C1747" t="s">
        <v>2918</v>
      </c>
      <c r="D1747">
        <v>0</v>
      </c>
      <c r="E1747" t="s">
        <v>2919</v>
      </c>
      <c r="H1747" t="str">
        <f t="shared" si="27"/>
        <v>Dump UDP packets summary to console</v>
      </c>
    </row>
    <row r="1748" spans="1:12" x14ac:dyDescent="0.25">
      <c r="A1748" t="s">
        <v>5251</v>
      </c>
      <c r="C1748" t="s">
        <v>2920</v>
      </c>
      <c r="D1748">
        <v>0</v>
      </c>
      <c r="E1748" t="s">
        <v>2921</v>
      </c>
      <c r="H1748" t="str">
        <f t="shared" si="27"/>
        <v>Dump OOB UDP packets summary to console</v>
      </c>
    </row>
    <row r="1749" spans="1:12" x14ac:dyDescent="0.25">
      <c r="A1749" t="s">
        <v>5251</v>
      </c>
      <c r="C1749" t="s">
        <v>2922</v>
      </c>
      <c r="D1749">
        <v>0</v>
      </c>
      <c r="E1749" t="s">
        <v>2923</v>
      </c>
      <c r="H1749" t="str">
        <f t="shared" si="27"/>
        <v>Dump non-loopback udp only</v>
      </c>
    </row>
    <row r="1750" spans="1:12" x14ac:dyDescent="0.25">
      <c r="A1750" t="s">
        <v>5251</v>
      </c>
      <c r="C1750" t="s">
        <v>2924</v>
      </c>
      <c r="D1750">
        <v>1</v>
      </c>
      <c r="E1750" t="s">
        <v>2925</v>
      </c>
      <c r="H1750" t="str">
        <f t="shared" si="27"/>
        <v>Number of fragments for a splitpacket that can be sent per frame</v>
      </c>
    </row>
    <row r="1751" spans="1:12" x14ac:dyDescent="0.25">
      <c r="A1751" t="s">
        <v>5251</v>
      </c>
      <c r="C1751" t="s">
        <v>2926</v>
      </c>
      <c r="D1751" t="s">
        <v>25</v>
      </c>
      <c r="E1751" t="s">
        <v>2927</v>
      </c>
      <c r="H1751" t="str">
        <f t="shared" si="27"/>
        <v>Inits multiplayer network sockets</v>
      </c>
    </row>
    <row r="1752" spans="1:12" x14ac:dyDescent="0.25">
      <c r="A1752" t="s">
        <v>5251</v>
      </c>
      <c r="C1752" t="s">
        <v>2928</v>
      </c>
      <c r="D1752" t="s">
        <v>25</v>
      </c>
      <c r="E1752" t="s">
        <v>2929</v>
      </c>
      <c r="H1752" t="str">
        <f t="shared" si="27"/>
        <v>Shows current network status</v>
      </c>
    </row>
    <row r="1753" spans="1:12" x14ac:dyDescent="0.25">
      <c r="A1753" t="s">
        <v>5251</v>
      </c>
      <c r="C1753" t="s">
        <v>2930</v>
      </c>
      <c r="D1753">
        <v>1</v>
      </c>
      <c r="E1753" t="s">
        <v>2931</v>
      </c>
      <c r="H1753" t="str">
        <f t="shared" si="27"/>
        <v>Allow steam connections to attempt to use relay servers as fallback (best if specified on command line:  +net_steamcnx_allowrel</v>
      </c>
      <c r="I1753" t="s">
        <v>2</v>
      </c>
    </row>
    <row r="1754" spans="1:12" x14ac:dyDescent="0.25">
      <c r="A1754" t="s">
        <v>5251</v>
      </c>
      <c r="C1754" t="s">
        <v>2932</v>
      </c>
      <c r="D1754">
        <v>1</v>
      </c>
      <c r="E1754" t="s">
        <v>2933</v>
      </c>
      <c r="H1754" t="str">
        <f t="shared" si="27"/>
        <v>Use steam connections on listen server as a fallback, 2 forces use of steam connections instead of raw UDP.</v>
      </c>
    </row>
    <row r="1755" spans="1:12" x14ac:dyDescent="0.25">
      <c r="A1755" t="s">
        <v>5251</v>
      </c>
      <c r="C1755" t="s">
        <v>2934</v>
      </c>
      <c r="D1755" t="s">
        <v>25</v>
      </c>
      <c r="E1755" t="s">
        <v>2935</v>
      </c>
      <c r="H1755" t="str">
        <f t="shared" si="27"/>
        <v>Print status of steam connection sockets.</v>
      </c>
    </row>
    <row r="1756" spans="1:12" x14ac:dyDescent="0.25">
      <c r="A1756" t="s">
        <v>5251</v>
      </c>
      <c r="C1756" t="s">
        <v>2936</v>
      </c>
      <c r="D1756">
        <v>1024</v>
      </c>
      <c r="E1756" t="s">
        <v>2937</v>
      </c>
      <c r="H1756" t="str">
        <f t="shared" si="27"/>
        <v>Max number of packets per burst beyond which threaded socket pump algorithm will start dropping packets.</v>
      </c>
    </row>
    <row r="1757" spans="1:12" x14ac:dyDescent="0.25">
      <c r="A1757" t="s">
        <v>5251</v>
      </c>
      <c r="C1757" t="s">
        <v>2938</v>
      </c>
      <c r="D1757">
        <v>6400</v>
      </c>
      <c r="E1757" t="s">
        <v>2939</v>
      </c>
      <c r="H1757" t="str">
        <f t="shared" si="27"/>
        <v>Number of packets per second that threaded socket pump algorithm allows from client.</v>
      </c>
    </row>
    <row r="1758" spans="1:12" x14ac:dyDescent="0.25">
      <c r="A1758" t="s">
        <v>5251</v>
      </c>
      <c r="C1758" t="s">
        <v>2940</v>
      </c>
      <c r="D1758">
        <v>60</v>
      </c>
      <c r="E1758" t="s">
        <v>2941</v>
      </c>
      <c r="H1758" t="str">
        <f t="shared" si="27"/>
        <v>Number of seconds over which the threaded socket pump algorithm will fully recover client ratelimit.</v>
      </c>
    </row>
    <row r="1759" spans="1:12" x14ac:dyDescent="0.25">
      <c r="A1759" t="s">
        <v>5251</v>
      </c>
      <c r="C1759" t="s">
        <v>2942</v>
      </c>
      <c r="D1759">
        <v>5</v>
      </c>
      <c r="E1759" t="s">
        <v>2943</v>
      </c>
      <c r="H1759" t="str">
        <f t="shared" si="27"/>
        <v>Network warning throttling to specified Hz rate</v>
      </c>
    </row>
    <row r="1760" spans="1:12" x14ac:dyDescent="0.25">
      <c r="A1760" t="s">
        <v>5251</v>
      </c>
      <c r="C1760" t="s">
        <v>2944</v>
      </c>
      <c r="D1760">
        <v>0</v>
      </c>
      <c r="E1760" t="s">
        <v>2945</v>
      </c>
      <c r="H1760" t="str">
        <f t="shared" si="27"/>
        <v>Set to 1 to advance to next frame ( when singlestep == 1 )</v>
      </c>
      <c r="L1760" t="s">
        <v>5</v>
      </c>
    </row>
    <row r="1761" spans="1:24" x14ac:dyDescent="0.25">
      <c r="A1761" t="s">
        <v>5251</v>
      </c>
      <c r="C1761" t="s">
        <v>2946</v>
      </c>
      <c r="D1761" t="s">
        <v>25</v>
      </c>
      <c r="E1761" t="s">
        <v>2947</v>
      </c>
      <c r="H1761" t="str">
        <f t="shared" si="27"/>
        <v>Play next demo in sequence.</v>
      </c>
    </row>
    <row r="1762" spans="1:24" x14ac:dyDescent="0.25">
      <c r="A1762" t="s">
        <v>5253</v>
      </c>
      <c r="C1762" t="s">
        <v>2948</v>
      </c>
      <c r="D1762">
        <v>0</v>
      </c>
      <c r="E1762" t="s">
        <v>2949</v>
      </c>
      <c r="H1762" t="str">
        <f t="shared" si="27"/>
        <v>If set to a valid map name, will trigger a changelevel to the specified map at the end of the round</v>
      </c>
      <c r="N1762" t="s">
        <v>7</v>
      </c>
      <c r="S1762" t="s">
        <v>12</v>
      </c>
      <c r="X1762" t="s">
        <v>17</v>
      </c>
    </row>
    <row r="1763" spans="1:24" x14ac:dyDescent="0.25">
      <c r="A1763" t="s">
        <v>5253</v>
      </c>
      <c r="C1763" t="s">
        <v>2950</v>
      </c>
      <c r="D1763">
        <v>0</v>
      </c>
      <c r="E1763" t="s">
        <v>2951</v>
      </c>
      <c r="H1763" t="str">
        <f t="shared" si="27"/>
        <v>When enabled prints next map to clients</v>
      </c>
      <c r="K1763" t="s">
        <v>4</v>
      </c>
    </row>
    <row r="1764" spans="1:24" x14ac:dyDescent="0.25">
      <c r="A1764" t="s">
        <v>5253</v>
      </c>
      <c r="C1764" t="s">
        <v>2952</v>
      </c>
      <c r="D1764">
        <v>0</v>
      </c>
      <c r="E1764" t="s">
        <v>2953</v>
      </c>
      <c r="H1764" t="str">
        <f t="shared" si="27"/>
        <v>Sets the game mode to be played when the next level loads</v>
      </c>
      <c r="N1764" t="s">
        <v>7</v>
      </c>
      <c r="S1764" t="s">
        <v>12</v>
      </c>
      <c r="X1764" t="s">
        <v>17</v>
      </c>
    </row>
    <row r="1765" spans="1:24" x14ac:dyDescent="0.25">
      <c r="A1765" t="s">
        <v>5251</v>
      </c>
      <c r="C1765" t="s">
        <v>2954</v>
      </c>
      <c r="D1765" t="s">
        <v>25</v>
      </c>
      <c r="E1765" t="s">
        <v>2955</v>
      </c>
      <c r="H1765" t="str">
        <f t="shared" si="27"/>
        <v>Toggle. Player becomes non-solid and flies.  Optional argument of 0 or 1 to force enable/disable</v>
      </c>
    </row>
    <row r="1766" spans="1:24" x14ac:dyDescent="0.25">
      <c r="A1766" t="s">
        <v>5251</v>
      </c>
      <c r="C1766" t="s">
        <v>2956</v>
      </c>
      <c r="D1766">
        <v>1</v>
      </c>
      <c r="H1766">
        <f t="shared" si="27"/>
        <v>0</v>
      </c>
      <c r="K1766" t="s">
        <v>4</v>
      </c>
      <c r="L1766" t="s">
        <v>5</v>
      </c>
    </row>
    <row r="1767" spans="1:24" x14ac:dyDescent="0.25">
      <c r="A1767" t="s">
        <v>5251</v>
      </c>
      <c r="C1767" t="s">
        <v>2957</v>
      </c>
      <c r="D1767" t="s">
        <v>25</v>
      </c>
      <c r="E1767" t="s">
        <v>2958</v>
      </c>
      <c r="H1767" t="str">
        <f t="shared" si="27"/>
        <v>Toggle. Player becomes hidden to NPCs.</v>
      </c>
    </row>
    <row r="1768" spans="1:24" x14ac:dyDescent="0.25">
      <c r="A1768" t="s">
        <v>5251</v>
      </c>
      <c r="C1768" t="s">
        <v>2959</v>
      </c>
      <c r="D1768">
        <v>1</v>
      </c>
      <c r="H1768">
        <f t="shared" si="27"/>
        <v>0</v>
      </c>
      <c r="K1768" t="s">
        <v>4</v>
      </c>
      <c r="L1768" t="s">
        <v>5</v>
      </c>
    </row>
    <row r="1769" spans="1:24" x14ac:dyDescent="0.25">
      <c r="A1769" t="s">
        <v>5251</v>
      </c>
      <c r="C1769" t="s">
        <v>2960</v>
      </c>
      <c r="D1769" t="s">
        <v>25</v>
      </c>
      <c r="E1769" t="s">
        <v>2961</v>
      </c>
      <c r="H1769" t="str">
        <f t="shared" si="27"/>
        <v>Subtracts half of the target's ammo</v>
      </c>
    </row>
    <row r="1770" spans="1:24" x14ac:dyDescent="0.25">
      <c r="A1770" t="s">
        <v>5251</v>
      </c>
      <c r="C1770" t="s">
        <v>2962</v>
      </c>
      <c r="D1770" t="s">
        <v>25</v>
      </c>
      <c r="E1770" t="s">
        <v>2963</v>
      </c>
      <c r="H1770" t="str">
        <f t="shared" si="27"/>
        <v>Displays the local movement attempts by the given NPC(s) (triangulation detours).  Failed bypass routes are displayed in red, s</v>
      </c>
    </row>
    <row r="1771" spans="1:24" x14ac:dyDescent="0.25">
      <c r="A1771" t="s">
        <v>5251</v>
      </c>
      <c r="C1771" t="s">
        <v>2964</v>
      </c>
      <c r="D1771" t="s">
        <v>25</v>
      </c>
      <c r="E1771" t="s">
        <v>5203</v>
      </c>
      <c r="H1771" t="str">
        <f t="shared" si="27"/>
        <v>Displays text debugging information about the squad and enemy of the selected NPC  (See Overlay Text) 	Arguments:   	{npc_name}</v>
      </c>
    </row>
    <row r="1772" spans="1:24" x14ac:dyDescent="0.25">
      <c r="A1772" t="s">
        <v>5251</v>
      </c>
      <c r="C1772" t="s">
        <v>2965</v>
      </c>
      <c r="D1772" t="s">
        <v>25</v>
      </c>
      <c r="E1772" t="s">
        <v>5204</v>
      </c>
      <c r="H1772" t="str">
        <f t="shared" si="27"/>
        <v>Displays all the current AI conditions that an NPC has in the overlay text. 	Arguments:   	{npc_name} / {npc class_name} / no a</v>
      </c>
    </row>
    <row r="1773" spans="1:24" x14ac:dyDescent="0.25">
      <c r="A1773" t="s">
        <v>5251</v>
      </c>
      <c r="C1773" t="s">
        <v>2966</v>
      </c>
      <c r="D1773" t="s">
        <v>25</v>
      </c>
      <c r="E1773" t="s">
        <v>5205</v>
      </c>
      <c r="H1773" t="str">
        <f t="shared" si="27"/>
        <v>Creates an NPC of the given type where the player is looking (if the given NPC can actually stand at that location).   	Argumen</v>
      </c>
    </row>
    <row r="1774" spans="1:24" x14ac:dyDescent="0.25">
      <c r="A1774" t="s">
        <v>5251</v>
      </c>
      <c r="C1774" t="s">
        <v>2967</v>
      </c>
      <c r="D1774" t="s">
        <v>25</v>
      </c>
      <c r="E1774" t="s">
        <v>2968</v>
      </c>
      <c r="H1774" t="str">
        <f t="shared" si="27"/>
        <v>Creates an NPC aimed away from the player of the given type where the player is looking (if the given NPC can actually stand at</v>
      </c>
    </row>
    <row r="1775" spans="1:24" x14ac:dyDescent="0.25">
      <c r="A1775" t="s">
        <v>5251</v>
      </c>
      <c r="C1775" t="s">
        <v>2969</v>
      </c>
      <c r="D1775" t="s">
        <v>25</v>
      </c>
      <c r="E1775" t="s">
        <v>5206</v>
      </c>
      <c r="H1775" t="str">
        <f t="shared" si="27"/>
        <v>Removes the given NPC(s) from the universe Arguments:   	{npc_name} / {npc_class_name} / no argument picks what player is looki</v>
      </c>
    </row>
    <row r="1776" spans="1:24" x14ac:dyDescent="0.25">
      <c r="A1776" t="s">
        <v>5251</v>
      </c>
      <c r="C1776" t="s">
        <v>2970</v>
      </c>
      <c r="D1776" t="s">
        <v>25</v>
      </c>
      <c r="E1776" t="s">
        <v>2971</v>
      </c>
      <c r="H1776" t="str">
        <f t="shared" si="27"/>
        <v>Removes all NPCs from the universe that aren't currently selected</v>
      </c>
    </row>
    <row r="1777" spans="1:11" x14ac:dyDescent="0.25">
      <c r="A1777" t="s">
        <v>5251</v>
      </c>
      <c r="C1777" t="s">
        <v>2972</v>
      </c>
      <c r="D1777" t="s">
        <v>25</v>
      </c>
      <c r="E1777" t="s">
        <v>5207</v>
      </c>
      <c r="H1777" t="str">
        <f t="shared" si="27"/>
        <v xml:space="preserve">Shows memory of NPC.  Draws an X on top of each memory. 	Eluded entities drawn in blue (don't know where it went) 	Unreachable </v>
      </c>
    </row>
    <row r="1778" spans="1:11" x14ac:dyDescent="0.25">
      <c r="A1778" t="s">
        <v>5251</v>
      </c>
      <c r="C1778" t="s">
        <v>2973</v>
      </c>
      <c r="D1778" t="s">
        <v>25</v>
      </c>
      <c r="E1778" t="s">
        <v>5208</v>
      </c>
      <c r="H1778" t="str">
        <f t="shared" si="27"/>
        <v>Displays red line to NPC's enemy (if has one) and blue line to NPC's target entity (if has one) 	Arguments:   	{npc_name} / {np</v>
      </c>
    </row>
    <row r="1779" spans="1:11" x14ac:dyDescent="0.25">
      <c r="A1779" t="s">
        <v>5251</v>
      </c>
      <c r="C1779" t="s">
        <v>2974</v>
      </c>
      <c r="D1779" t="s">
        <v>25</v>
      </c>
      <c r="E1779" t="s">
        <v>5209</v>
      </c>
      <c r="H1779" t="str">
        <f t="shared" si="27"/>
        <v>Selected NPC(s) will freeze in place (or unfreeze). If there are no selected NPCs, uses the NPC under the crosshair. 	Arguments</v>
      </c>
    </row>
    <row r="1780" spans="1:11" x14ac:dyDescent="0.25">
      <c r="A1780" t="s">
        <v>5251</v>
      </c>
      <c r="C1780" t="s">
        <v>2975</v>
      </c>
      <c r="D1780" t="s">
        <v>25</v>
      </c>
      <c r="E1780" t="s">
        <v>2976</v>
      </c>
      <c r="H1780" t="str">
        <f t="shared" si="27"/>
        <v>Freeze all NPCs not selected</v>
      </c>
    </row>
    <row r="1781" spans="1:11" x14ac:dyDescent="0.25">
      <c r="A1781" t="s">
        <v>5251</v>
      </c>
      <c r="C1781" t="s">
        <v>2977</v>
      </c>
      <c r="D1781" t="s">
        <v>25</v>
      </c>
      <c r="E1781" t="s">
        <v>5210</v>
      </c>
      <c r="H1781" t="str">
        <f t="shared" si="27"/>
        <v>Selected NPC(s) will go to the location that the player is looking (shown with a purple box) 	Arguments:	-none-</v>
      </c>
    </row>
    <row r="1782" spans="1:11" x14ac:dyDescent="0.25">
      <c r="A1782" t="s">
        <v>5251</v>
      </c>
      <c r="C1782" t="s">
        <v>2978</v>
      </c>
      <c r="D1782" t="s">
        <v>25</v>
      </c>
      <c r="E1782" t="s">
        <v>5211</v>
      </c>
      <c r="H1782" t="str">
        <f t="shared" si="27"/>
        <v>Sends all selected NPC(s) to a random node. 	Arguments:   	-none-</v>
      </c>
    </row>
    <row r="1783" spans="1:11" x14ac:dyDescent="0.25">
      <c r="A1783" t="s">
        <v>5251</v>
      </c>
      <c r="C1783" t="s">
        <v>2979</v>
      </c>
      <c r="D1783" t="s">
        <v>25</v>
      </c>
      <c r="E1783" t="s">
        <v>2980</v>
      </c>
      <c r="H1783" t="str">
        <f t="shared" si="27"/>
        <v>Heals the target back to full health</v>
      </c>
    </row>
    <row r="1784" spans="1:11" x14ac:dyDescent="0.25">
      <c r="A1784" t="s">
        <v>5251</v>
      </c>
      <c r="C1784" t="s">
        <v>2981</v>
      </c>
      <c r="D1784">
        <v>1</v>
      </c>
      <c r="E1784" t="s">
        <v>2982</v>
      </c>
      <c r="H1784" t="str">
        <f t="shared" si="27"/>
        <v>Enable test mode for ik height adjustment</v>
      </c>
      <c r="I1784" t="s">
        <v>2</v>
      </c>
      <c r="K1784" t="s">
        <v>4</v>
      </c>
    </row>
    <row r="1785" spans="1:11" x14ac:dyDescent="0.25">
      <c r="A1785" t="s">
        <v>5251</v>
      </c>
      <c r="C1785" t="s">
        <v>2983</v>
      </c>
      <c r="D1785" t="s">
        <v>25</v>
      </c>
      <c r="E1785" t="s">
        <v>5212</v>
      </c>
      <c r="H1785" t="str">
        <f t="shared" si="27"/>
        <v>Kills the given NPC(s) Arguments:   	{npc_name} / {npc_class_name} / no argument picks what player is looking at</v>
      </c>
    </row>
    <row r="1786" spans="1:11" x14ac:dyDescent="0.25">
      <c r="A1786" t="s">
        <v>5251</v>
      </c>
      <c r="C1786" t="s">
        <v>2984</v>
      </c>
      <c r="D1786" t="s">
        <v>25</v>
      </c>
      <c r="E1786" t="s">
        <v>5213</v>
      </c>
      <c r="H1786" t="str">
        <f t="shared" si="27"/>
        <v>Draw's a while box around the NPC(s) nearest node 	Arguments:   	{entity_name} / {class_name} / no argument picks what player i</v>
      </c>
    </row>
    <row r="1787" spans="1:11" x14ac:dyDescent="0.25">
      <c r="A1787" t="s">
        <v>5251</v>
      </c>
      <c r="C1787" t="s">
        <v>2985</v>
      </c>
      <c r="D1787" t="s">
        <v>25</v>
      </c>
      <c r="E1787" t="s">
        <v>5214</v>
      </c>
      <c r="H1787" t="str">
        <f t="shared" si="27"/>
        <v>Displays the relationships between this NPC and all others. 	Arguments:   	{entity_name} / {class_name} / no argument picks wha</v>
      </c>
    </row>
    <row r="1788" spans="1:11" x14ac:dyDescent="0.25">
      <c r="A1788" t="s">
        <v>5251</v>
      </c>
      <c r="C1788" t="s">
        <v>2986</v>
      </c>
      <c r="D1788" t="s">
        <v>25</v>
      </c>
      <c r="E1788" t="s">
        <v>5215</v>
      </c>
      <c r="H1788" t="str">
        <f t="shared" si="27"/>
        <v>Reloads schedules for all NPC's from their script files 	Arguments:	-none-</v>
      </c>
    </row>
    <row r="1789" spans="1:11" x14ac:dyDescent="0.25">
      <c r="A1789" t="s">
        <v>5251</v>
      </c>
      <c r="C1789" t="s">
        <v>2987</v>
      </c>
      <c r="D1789" t="s">
        <v>25</v>
      </c>
      <c r="E1789" t="s">
        <v>2988</v>
      </c>
      <c r="H1789" t="str">
        <f t="shared" si="27"/>
        <v>Displays the current route of the given NPC as a line on the screen.  Waypoints along the route are drawn as small cyan rectang</v>
      </c>
    </row>
    <row r="1790" spans="1:11" x14ac:dyDescent="0.25">
      <c r="A1790" t="s">
        <v>5251</v>
      </c>
      <c r="C1790" t="s">
        <v>2989</v>
      </c>
      <c r="D1790" t="s">
        <v>25</v>
      </c>
      <c r="E1790" t="s">
        <v>5216</v>
      </c>
      <c r="H1790" t="str">
        <f t="shared" si="27"/>
        <v>Select or deselects the given NPC(s) for later manipulation.  Selected NPC's are shown surrounded by a red translucent box 	Arg</v>
      </c>
    </row>
    <row r="1791" spans="1:11" x14ac:dyDescent="0.25">
      <c r="A1791" t="s">
        <v>5251</v>
      </c>
      <c r="C1791" t="s">
        <v>2990</v>
      </c>
      <c r="D1791" t="s">
        <v>25</v>
      </c>
      <c r="E1791" t="s">
        <v>5209</v>
      </c>
      <c r="H1791" t="str">
        <f t="shared" si="27"/>
        <v>Selected NPC(s) will freeze in place (or unfreeze). If there are no selected NPCs, uses the NPC under the crosshair. 	Arguments</v>
      </c>
    </row>
    <row r="1792" spans="1:11" x14ac:dyDescent="0.25">
      <c r="A1792" t="s">
        <v>5251</v>
      </c>
      <c r="C1792" t="s">
        <v>2991</v>
      </c>
      <c r="D1792" t="s">
        <v>25</v>
      </c>
      <c r="E1792" t="s">
        <v>2976</v>
      </c>
      <c r="H1792" t="str">
        <f t="shared" si="27"/>
        <v>Freeze all NPCs not selected</v>
      </c>
    </row>
    <row r="1793" spans="1:12" x14ac:dyDescent="0.25">
      <c r="A1793" t="s">
        <v>5251</v>
      </c>
      <c r="C1793" t="s">
        <v>2992</v>
      </c>
      <c r="D1793" t="s">
        <v>25</v>
      </c>
      <c r="E1793" t="s">
        <v>2993</v>
      </c>
      <c r="H1793" t="str">
        <f t="shared" si="27"/>
        <v>Obsolete.  Replaced by npc_combat</v>
      </c>
    </row>
    <row r="1794" spans="1:12" x14ac:dyDescent="0.25">
      <c r="A1794" t="s">
        <v>5251</v>
      </c>
      <c r="C1794" t="s">
        <v>2994</v>
      </c>
      <c r="D1794" t="s">
        <v>25</v>
      </c>
      <c r="E1794" t="s">
        <v>5217</v>
      </c>
      <c r="H1794" t="str">
        <f t="shared" si="27"/>
        <v>Displays the steering obstructions of the NPC (used to perform local avoidance) 	Arguments:   	{entity_name} / {class_name} / n</v>
      </c>
    </row>
    <row r="1795" spans="1:12" x14ac:dyDescent="0.25">
      <c r="A1795" t="s">
        <v>5251</v>
      </c>
      <c r="C1795" t="s">
        <v>2995</v>
      </c>
      <c r="D1795" t="s">
        <v>25</v>
      </c>
      <c r="E1795" t="s">
        <v>2996</v>
      </c>
      <c r="H1795" t="str">
        <f t="shared" ref="H1795:H1858" si="28">IF(F1795="",E1795, F1795 &amp; " - Original Helptext: " &amp;E1795)</f>
        <v>Displays the steering obstructions of all NPCs (used to perform local avoidance)</v>
      </c>
    </row>
    <row r="1796" spans="1:12" x14ac:dyDescent="0.25">
      <c r="A1796" t="s">
        <v>5251</v>
      </c>
      <c r="C1796" t="s">
        <v>2997</v>
      </c>
      <c r="D1796" t="s">
        <v>25</v>
      </c>
      <c r="E1796" t="s">
        <v>2998</v>
      </c>
      <c r="H1796" t="str">
        <f t="shared" si="28"/>
        <v>Outputs text debugging information to the console about the all the tasks + break conditions of the selected NPC current schedu</v>
      </c>
    </row>
    <row r="1797" spans="1:12" x14ac:dyDescent="0.25">
      <c r="A1797" t="s">
        <v>5251</v>
      </c>
      <c r="C1797" t="s">
        <v>2999</v>
      </c>
      <c r="D1797" t="s">
        <v>25</v>
      </c>
      <c r="E1797" t="s">
        <v>5218</v>
      </c>
      <c r="H1797" t="str">
        <f t="shared" si="28"/>
        <v>Displays detailed text debugging information about the all the tasks of the selected NPC current schedule (See Overlay Text) 	A</v>
      </c>
    </row>
    <row r="1798" spans="1:12" x14ac:dyDescent="0.25">
      <c r="A1798" t="s">
        <v>5251</v>
      </c>
      <c r="C1798" t="s">
        <v>3000</v>
      </c>
      <c r="D1798" t="s">
        <v>25</v>
      </c>
      <c r="E1798" t="s">
        <v>5219</v>
      </c>
      <c r="H1798" t="str">
        <f t="shared" si="28"/>
        <v>Selected NPC will teleport to the location that the player is looking (shown with a purple box) 	Arguments:	-none-</v>
      </c>
    </row>
    <row r="1799" spans="1:12" x14ac:dyDescent="0.25">
      <c r="A1799" t="s">
        <v>5251</v>
      </c>
      <c r="C1799" t="s">
        <v>3001</v>
      </c>
      <c r="D1799" t="s">
        <v>25</v>
      </c>
      <c r="E1799" t="s">
        <v>3002</v>
      </c>
      <c r="H1799" t="str">
        <f t="shared" si="28"/>
        <v>Trigger NPC to think</v>
      </c>
    </row>
    <row r="1800" spans="1:12" x14ac:dyDescent="0.25">
      <c r="A1800" t="s">
        <v>5251</v>
      </c>
      <c r="C1800" t="s">
        <v>3003</v>
      </c>
      <c r="D1800" t="s">
        <v>25</v>
      </c>
      <c r="E1800" t="s">
        <v>5220</v>
      </c>
      <c r="H1800" t="str">
        <f t="shared" si="28"/>
        <v>Displays the viewcone of the NPC (where they are currently looking and what the extents of there vision is) 	Arguments:   	{ent</v>
      </c>
    </row>
    <row r="1801" spans="1:12" x14ac:dyDescent="0.25">
      <c r="A1801" t="s">
        <v>5251</v>
      </c>
      <c r="C1801" t="s">
        <v>3004</v>
      </c>
      <c r="D1801" t="s">
        <v>25</v>
      </c>
      <c r="H1801">
        <f t="shared" si="28"/>
        <v>0</v>
      </c>
    </row>
    <row r="1802" spans="1:12" x14ac:dyDescent="0.25">
      <c r="A1802" t="s">
        <v>5251</v>
      </c>
      <c r="C1802" t="s">
        <v>3005</v>
      </c>
      <c r="D1802">
        <v>0</v>
      </c>
      <c r="H1802">
        <f t="shared" si="28"/>
        <v>0</v>
      </c>
    </row>
    <row r="1803" spans="1:12" x14ac:dyDescent="0.25">
      <c r="A1803" t="s">
        <v>5251</v>
      </c>
      <c r="C1803" t="s">
        <v>3006</v>
      </c>
      <c r="D1803" t="s">
        <v>25</v>
      </c>
      <c r="E1803" t="s">
        <v>3007</v>
      </c>
      <c r="H1803" t="str">
        <f t="shared" si="28"/>
        <v>Occlusion statistics; [-jitter] [-reset]</v>
      </c>
    </row>
    <row r="1804" spans="1:12" x14ac:dyDescent="0.25">
      <c r="A1804" t="s">
        <v>5251</v>
      </c>
      <c r="C1804" t="s">
        <v>3008</v>
      </c>
      <c r="D1804">
        <v>0</v>
      </c>
      <c r="E1804" t="s">
        <v>3009</v>
      </c>
      <c r="H1804" t="str">
        <f t="shared" si="28"/>
        <v>Enable asynchronous occlusion test in another thread; may save some server tick time at the cost of synchronization overhead wi</v>
      </c>
    </row>
    <row r="1805" spans="1:12" x14ac:dyDescent="0.25">
      <c r="A1805" t="s">
        <v>5251</v>
      </c>
      <c r="C1805" t="s">
        <v>3010</v>
      </c>
      <c r="D1805">
        <v>2</v>
      </c>
      <c r="H1805">
        <f t="shared" si="28"/>
        <v>0</v>
      </c>
      <c r="L1805" t="s">
        <v>5</v>
      </c>
    </row>
    <row r="1806" spans="1:12" x14ac:dyDescent="0.25">
      <c r="A1806" t="s">
        <v>5251</v>
      </c>
      <c r="C1806" t="s">
        <v>3011</v>
      </c>
      <c r="D1806">
        <v>8</v>
      </c>
      <c r="H1806">
        <f t="shared" si="28"/>
        <v>0</v>
      </c>
      <c r="L1806" t="s">
        <v>5</v>
      </c>
    </row>
    <row r="1807" spans="1:12" x14ac:dyDescent="0.25">
      <c r="A1807" t="s">
        <v>5251</v>
      </c>
      <c r="C1807" t="s">
        <v>3012</v>
      </c>
      <c r="D1807">
        <v>12</v>
      </c>
      <c r="E1807" t="s">
        <v>3013</v>
      </c>
      <c r="H1807" t="str">
        <f t="shared" si="28"/>
        <v>Amount by which the camera (viewer's eye) is expanded for occlusion test. This should be large enough to accommodate eye's move</v>
      </c>
      <c r="K1807" t="s">
        <v>4</v>
      </c>
    </row>
    <row r="1808" spans="1:12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  <c r="H1808" t="str">
        <f t="shared" si="28"/>
        <v>Amount by which the player bounding box is expanded up for occlusion test to account for jumping. This margin should be large e</v>
      </c>
    </row>
    <row r="1809" spans="1:25" x14ac:dyDescent="0.25">
      <c r="A1809" t="s">
        <v>5251</v>
      </c>
      <c r="C1809" t="s">
        <v>3016</v>
      </c>
      <c r="D1809">
        <v>36</v>
      </c>
      <c r="E1809" t="s">
        <v>3017</v>
      </c>
      <c r="H1809" t="str">
        <f t="shared" si="28"/>
        <v>Amount by which the player bounding box is expanded for occlusion test. This margin should be large enough to accommodate playe</v>
      </c>
    </row>
    <row r="1810" spans="1:25" x14ac:dyDescent="0.25">
      <c r="A1810" t="s">
        <v>5251</v>
      </c>
      <c r="C1810" t="s">
        <v>3018</v>
      </c>
      <c r="D1810">
        <v>144</v>
      </c>
      <c r="E1810" t="s">
        <v>3019</v>
      </c>
      <c r="H1810" t="str">
        <f t="shared" si="28"/>
        <v>Max length of completely occluded shadow to consider a player for occlusion test. If shadow provably stops at this distance, th</v>
      </c>
      <c r="K1810" t="s">
        <v>4</v>
      </c>
    </row>
    <row r="1811" spans="1:25" x14ac:dyDescent="0.25">
      <c r="A1811" t="s">
        <v>5251</v>
      </c>
      <c r="C1811" t="s">
        <v>3020</v>
      </c>
      <c r="D1811">
        <v>1500</v>
      </c>
      <c r="E1811" t="s">
        <v>3021</v>
      </c>
      <c r="H1811" t="str">
        <f t="shared" si="28"/>
        <v>Max distance at which to consider shadows for occlusion computations</v>
      </c>
    </row>
    <row r="1812" spans="1:25" x14ac:dyDescent="0.25">
      <c r="A1812" t="s">
        <v>5251</v>
      </c>
      <c r="C1812" t="s">
        <v>3022</v>
      </c>
      <c r="D1812">
        <v>0</v>
      </c>
      <c r="H1812">
        <f t="shared" si="28"/>
        <v>0</v>
      </c>
      <c r="I1812" t="s">
        <v>2</v>
      </c>
      <c r="X1812" t="s">
        <v>17</v>
      </c>
      <c r="Y1812" t="s">
        <v>18</v>
      </c>
    </row>
    <row r="1813" spans="1:25" x14ac:dyDescent="0.25">
      <c r="A1813" t="s">
        <v>5251</v>
      </c>
      <c r="C1813" t="s">
        <v>3023</v>
      </c>
      <c r="D1813">
        <v>0</v>
      </c>
      <c r="H1813">
        <f t="shared" si="28"/>
        <v>0</v>
      </c>
      <c r="I1813" t="s">
        <v>2</v>
      </c>
      <c r="X1813" t="s">
        <v>17</v>
      </c>
      <c r="Y1813" t="s">
        <v>18</v>
      </c>
    </row>
    <row r="1814" spans="1:25" x14ac:dyDescent="0.25">
      <c r="A1814" t="s">
        <v>5251</v>
      </c>
      <c r="C1814" t="s">
        <v>3024</v>
      </c>
      <c r="D1814">
        <v>0</v>
      </c>
      <c r="E1814" t="s">
        <v>3025</v>
      </c>
      <c r="H1814" t="str">
        <f t="shared" si="28"/>
        <v>Change bias value for computing circle buffer</v>
      </c>
      <c r="L1814" t="s">
        <v>5</v>
      </c>
      <c r="S1814" t="s">
        <v>12</v>
      </c>
    </row>
    <row r="1815" spans="1:25" x14ac:dyDescent="0.25">
      <c r="A1815" t="s">
        <v>5251</v>
      </c>
      <c r="C1815" t="s">
        <v>3026</v>
      </c>
      <c r="D1815">
        <v>0</v>
      </c>
      <c r="E1815" t="s">
        <v>3027</v>
      </c>
      <c r="H1815" t="str">
        <f t="shared" si="28"/>
        <v>Max noise value of circle alpha</v>
      </c>
      <c r="L1815" t="s">
        <v>5</v>
      </c>
      <c r="S1815" t="s">
        <v>12</v>
      </c>
    </row>
    <row r="1816" spans="1:25" x14ac:dyDescent="0.25">
      <c r="A1816" t="s">
        <v>5251</v>
      </c>
      <c r="C1816" t="s">
        <v>3028</v>
      </c>
      <c r="D1816">
        <v>1</v>
      </c>
      <c r="H1816">
        <f t="shared" si="28"/>
        <v>0</v>
      </c>
      <c r="L1816" t="s">
        <v>5</v>
      </c>
      <c r="S1816" t="s">
        <v>12</v>
      </c>
    </row>
    <row r="1817" spans="1:25" x14ac:dyDescent="0.25">
      <c r="A1817" t="s">
        <v>5251</v>
      </c>
      <c r="C1817" t="s">
        <v>3029</v>
      </c>
      <c r="D1817">
        <v>0</v>
      </c>
      <c r="E1817" t="s">
        <v>3030</v>
      </c>
      <c r="H1817" t="str">
        <f t="shared" si="28"/>
        <v>Test vgui panel positioning with title safe indentation</v>
      </c>
      <c r="L1817" t="s">
        <v>5</v>
      </c>
    </row>
    <row r="1818" spans="1:25" x14ac:dyDescent="0.25">
      <c r="A1818" t="s">
        <v>5251</v>
      </c>
      <c r="B1818" t="s">
        <v>5257</v>
      </c>
      <c r="C1818" t="s">
        <v>3031</v>
      </c>
      <c r="D1818">
        <v>0</v>
      </c>
      <c r="H1818">
        <f t="shared" si="28"/>
        <v>0</v>
      </c>
    </row>
    <row r="1819" spans="1:25" x14ac:dyDescent="0.25">
      <c r="A1819" t="s">
        <v>5251</v>
      </c>
      <c r="B1819" t="s">
        <v>5257</v>
      </c>
      <c r="C1819" t="s">
        <v>3032</v>
      </c>
      <c r="D1819">
        <v>0</v>
      </c>
      <c r="H1819">
        <f t="shared" si="28"/>
        <v>0</v>
      </c>
    </row>
    <row r="1820" spans="1:25" x14ac:dyDescent="0.25">
      <c r="A1820" t="s">
        <v>5251</v>
      </c>
      <c r="B1820" t="s">
        <v>5257</v>
      </c>
      <c r="C1820" t="s">
        <v>3033</v>
      </c>
      <c r="D1820">
        <v>0</v>
      </c>
      <c r="H1820">
        <f t="shared" si="28"/>
        <v>0</v>
      </c>
    </row>
    <row r="1821" spans="1:25" x14ac:dyDescent="0.25">
      <c r="A1821" t="s">
        <v>5251</v>
      </c>
      <c r="C1821" t="s">
        <v>3034</v>
      </c>
      <c r="D1821" t="s">
        <v>25</v>
      </c>
      <c r="E1821" t="s">
        <v>3035</v>
      </c>
      <c r="H1821" t="str">
        <f t="shared" si="28"/>
        <v>equips parachute</v>
      </c>
    </row>
    <row r="1822" spans="1:25" x14ac:dyDescent="0.25">
      <c r="A1822" t="s">
        <v>5251</v>
      </c>
      <c r="C1822" t="s">
        <v>3036</v>
      </c>
      <c r="D1822">
        <v>0</v>
      </c>
      <c r="E1822" t="s">
        <v>3037</v>
      </c>
      <c r="H1822" t="str">
        <f t="shared" si="28"/>
        <v>Used for stress-testing particle systems. Randomly denies creation of particles.</v>
      </c>
      <c r="L1822" t="s">
        <v>5</v>
      </c>
      <c r="X1822" t="s">
        <v>17</v>
      </c>
    </row>
    <row r="1823" spans="1:25" x14ac:dyDescent="0.25">
      <c r="A1823" t="s">
        <v>5251</v>
      </c>
      <c r="C1823" t="s">
        <v>3038</v>
      </c>
      <c r="D1823">
        <v>0</v>
      </c>
      <c r="E1823" t="s">
        <v>3039</v>
      </c>
      <c r="H1823" t="str">
        <f t="shared" si="28"/>
        <v>Attachment index for attachment mode</v>
      </c>
      <c r="K1823" t="s">
        <v>4</v>
      </c>
      <c r="L1823" t="s">
        <v>5</v>
      </c>
    </row>
    <row r="1824" spans="1:25" x14ac:dyDescent="0.25">
      <c r="A1824" t="s">
        <v>5251</v>
      </c>
      <c r="C1824" t="s">
        <v>3040</v>
      </c>
      <c r="D1824">
        <v>0</v>
      </c>
      <c r="E1824" t="s">
        <v>3041</v>
      </c>
      <c r="H1824" t="str">
        <f t="shared" si="28"/>
        <v>Possible Values: 'start_at_attachment', 'follow_attachment', 'start_at_origin', 'follow_origin'</v>
      </c>
      <c r="K1824" t="s">
        <v>4</v>
      </c>
      <c r="L1824" t="s">
        <v>5</v>
      </c>
    </row>
    <row r="1825" spans="1:24" x14ac:dyDescent="0.25">
      <c r="A1825" t="s">
        <v>5251</v>
      </c>
      <c r="C1825" t="s">
        <v>3042</v>
      </c>
      <c r="D1825">
        <v>0</v>
      </c>
      <c r="E1825" t="s">
        <v>3043</v>
      </c>
      <c r="H1825" t="str">
        <f t="shared" si="28"/>
        <v>Name of the particle system to dynamically spawn</v>
      </c>
      <c r="K1825" t="s">
        <v>4</v>
      </c>
      <c r="L1825" t="s">
        <v>5</v>
      </c>
    </row>
    <row r="1826" spans="1:24" x14ac:dyDescent="0.25">
      <c r="A1826" t="s">
        <v>5251</v>
      </c>
      <c r="C1826" t="s">
        <v>3044</v>
      </c>
      <c r="D1826" t="s">
        <v>25</v>
      </c>
      <c r="E1826" t="s">
        <v>5221</v>
      </c>
      <c r="H1826" t="str">
        <f t="shared" si="28"/>
        <v>Dispatches the test particle system with the parameters specified in particle_test_file,  particle_test_attach_mode and particl</v>
      </c>
    </row>
    <row r="1827" spans="1:24" x14ac:dyDescent="0.25">
      <c r="A1827" t="s">
        <v>5251</v>
      </c>
      <c r="C1827" t="s">
        <v>3045</v>
      </c>
      <c r="D1827" t="s">
        <v>25</v>
      </c>
      <c r="E1827" t="s">
        <v>5222</v>
      </c>
      <c r="H1827" t="str">
        <f t="shared" si="28"/>
        <v>Stops all particle systems on the selected entities. 	Arguments:   	{entity_name} / {class_name} / no argument picks what playe</v>
      </c>
    </row>
    <row r="1828" spans="1:24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H1828" t="str">
        <f t="shared" si="28"/>
        <v>Current server access password</v>
      </c>
      <c r="I1828" t="s">
        <v>2</v>
      </c>
      <c r="U1828" t="s">
        <v>14</v>
      </c>
    </row>
    <row r="1829" spans="1:24" x14ac:dyDescent="0.25">
      <c r="A1829" t="s">
        <v>5252</v>
      </c>
      <c r="C1829" t="s">
        <v>3048</v>
      </c>
      <c r="D1829" t="s">
        <v>25</v>
      </c>
      <c r="E1829" t="s">
        <v>3049</v>
      </c>
      <c r="H1829" t="str">
        <f t="shared" si="28"/>
        <v>Show the engine filesystem path.</v>
      </c>
    </row>
    <row r="1830" spans="1:24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  <c r="H1830" t="str">
        <f t="shared" si="28"/>
        <v>Toggle the server pause state.</v>
      </c>
    </row>
    <row r="1831" spans="1:24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  <c r="H1831" t="str">
        <f t="shared" si="28"/>
        <v>Show/hide the level performance tools UI.</v>
      </c>
    </row>
    <row r="1832" spans="1:24" x14ac:dyDescent="0.25">
      <c r="A1832" t="s">
        <v>5251</v>
      </c>
      <c r="C1832" t="s">
        <v>3054</v>
      </c>
      <c r="D1832" t="s">
        <v>25</v>
      </c>
      <c r="H1832">
        <f t="shared" si="28"/>
        <v>0</v>
      </c>
    </row>
    <row r="1833" spans="1:24" x14ac:dyDescent="0.25">
      <c r="A1833" t="s">
        <v>5251</v>
      </c>
      <c r="C1833" t="s">
        <v>3055</v>
      </c>
      <c r="D1833" t="s">
        <v>25</v>
      </c>
      <c r="H1833">
        <f t="shared" si="28"/>
        <v>0</v>
      </c>
    </row>
    <row r="1834" spans="1:24" x14ac:dyDescent="0.25">
      <c r="A1834" t="s">
        <v>5251</v>
      </c>
      <c r="C1834" t="s">
        <v>3056</v>
      </c>
      <c r="D1834">
        <v>0</v>
      </c>
      <c r="H1834">
        <f t="shared" si="28"/>
        <v>0</v>
      </c>
      <c r="L1834" t="s">
        <v>5</v>
      </c>
      <c r="S1834" t="s">
        <v>12</v>
      </c>
      <c r="X1834" t="s">
        <v>17</v>
      </c>
    </row>
    <row r="1835" spans="1:24" x14ac:dyDescent="0.25">
      <c r="A1835" t="s">
        <v>5251</v>
      </c>
      <c r="C1835" t="s">
        <v>3057</v>
      </c>
      <c r="D1835">
        <v>0</v>
      </c>
      <c r="H1835">
        <f t="shared" si="28"/>
        <v>0</v>
      </c>
      <c r="K1835" t="s">
        <v>4</v>
      </c>
      <c r="L1835" t="s">
        <v>5</v>
      </c>
    </row>
    <row r="1836" spans="1:24" x14ac:dyDescent="0.25">
      <c r="A1836" t="s">
        <v>5251</v>
      </c>
      <c r="C1836" t="s">
        <v>3058</v>
      </c>
      <c r="D1836" t="s">
        <v>25</v>
      </c>
      <c r="E1836" t="s">
        <v>3059</v>
      </c>
      <c r="H1836" t="str">
        <f t="shared" si="28"/>
        <v>Times the cost of each active object</v>
      </c>
    </row>
    <row r="1837" spans="1:24" x14ac:dyDescent="0.25">
      <c r="A1837" t="s">
        <v>5251</v>
      </c>
      <c r="C1837" t="s">
        <v>3060</v>
      </c>
      <c r="D1837" t="s">
        <v>25</v>
      </c>
      <c r="E1837" t="s">
        <v>3061</v>
      </c>
      <c r="H1837" t="str">
        <f t="shared" si="28"/>
        <v>Highlights constraint system graph for an entity</v>
      </c>
    </row>
    <row r="1838" spans="1:24" x14ac:dyDescent="0.25">
      <c r="A1838" t="s">
        <v>5251</v>
      </c>
      <c r="C1838" t="s">
        <v>3062</v>
      </c>
      <c r="D1838" t="s">
        <v>25</v>
      </c>
      <c r="E1838" t="s">
        <v>3063</v>
      </c>
      <c r="H1838" t="str">
        <f t="shared" si="28"/>
        <v>Dumps debug info for an entity</v>
      </c>
    </row>
    <row r="1839" spans="1:24" x14ac:dyDescent="0.25">
      <c r="A1839" t="s">
        <v>5251</v>
      </c>
      <c r="C1839" t="s">
        <v>3064</v>
      </c>
      <c r="D1839" t="s">
        <v>25</v>
      </c>
      <c r="E1839" t="s">
        <v>3065</v>
      </c>
      <c r="H1839" t="str">
        <f t="shared" si="28"/>
        <v>Turns on the absbox for all active physics objects</v>
      </c>
    </row>
    <row r="1840" spans="1:24" x14ac:dyDescent="0.25">
      <c r="A1840" t="s">
        <v>5251</v>
      </c>
      <c r="C1840" t="s">
        <v>3066</v>
      </c>
      <c r="D1840" t="s">
        <v>25</v>
      </c>
      <c r="E1840" t="s">
        <v>3067</v>
      </c>
      <c r="H1840" t="str">
        <f t="shared" si="28"/>
        <v>Lists all active physics objects</v>
      </c>
    </row>
    <row r="1841" spans="1:25" x14ac:dyDescent="0.25">
      <c r="A1841" t="s">
        <v>5251</v>
      </c>
      <c r="C1841" t="s">
        <v>3068</v>
      </c>
      <c r="D1841" t="s">
        <v>25</v>
      </c>
      <c r="E1841" t="s">
        <v>3063</v>
      </c>
      <c r="H1841" t="str">
        <f t="shared" si="28"/>
        <v>Dumps debug info for an entity</v>
      </c>
    </row>
    <row r="1842" spans="1:25" x14ac:dyDescent="0.25">
      <c r="A1842" t="s">
        <v>5251</v>
      </c>
      <c r="C1842" t="s">
        <v>3069</v>
      </c>
      <c r="D1842" t="s">
        <v>25</v>
      </c>
      <c r="H1842">
        <f t="shared" si="28"/>
        <v>0</v>
      </c>
    </row>
    <row r="1843" spans="1:25" x14ac:dyDescent="0.25">
      <c r="A1843" t="s">
        <v>5251</v>
      </c>
      <c r="C1843" t="s">
        <v>3070</v>
      </c>
      <c r="D1843" t="s">
        <v>25</v>
      </c>
      <c r="E1843" t="s">
        <v>3071</v>
      </c>
      <c r="H1843" t="str">
        <f t="shared" si="28"/>
        <v>Toggles 'picker' mode.  When picker is on, the bounding box, pivot and debugging text is displayed for whatever entity the play</v>
      </c>
    </row>
    <row r="1844" spans="1:25" x14ac:dyDescent="0.25">
      <c r="A1844" t="s">
        <v>5253</v>
      </c>
      <c r="C1844" t="s">
        <v>3072</v>
      </c>
      <c r="D1844" t="s">
        <v>25</v>
      </c>
      <c r="E1844" t="s">
        <v>3073</v>
      </c>
      <c r="H1844" t="str">
        <f t="shared" si="28"/>
        <v>Display ping to server.</v>
      </c>
    </row>
    <row r="1845" spans="1:25" x14ac:dyDescent="0.25">
      <c r="A1845" t="s">
        <v>5251</v>
      </c>
      <c r="C1845" t="s">
        <v>3074</v>
      </c>
      <c r="D1845" t="s">
        <v>25</v>
      </c>
      <c r="E1845" t="s">
        <v>3075</v>
      </c>
      <c r="H1845" t="str">
        <f t="shared" si="28"/>
        <v>Dump debug info</v>
      </c>
    </row>
    <row r="1846" spans="1:25" x14ac:dyDescent="0.25">
      <c r="A1846" t="s">
        <v>5252</v>
      </c>
      <c r="C1846" t="s">
        <v>3076</v>
      </c>
      <c r="D1846" t="s">
        <v>25</v>
      </c>
      <c r="E1846" t="s">
        <v>3077</v>
      </c>
      <c r="H1846" t="str">
        <f t="shared" si="28"/>
        <v>Play a sound.</v>
      </c>
    </row>
    <row r="1847" spans="1:25" x14ac:dyDescent="0.25">
      <c r="A1847" t="s">
        <v>5252</v>
      </c>
      <c r="C1847" t="s">
        <v>3078</v>
      </c>
      <c r="D1847">
        <v>1</v>
      </c>
      <c r="E1847" t="s">
        <v>3079</v>
      </c>
      <c r="H1847" t="str">
        <f t="shared" si="28"/>
        <v>Set to 1:'2 foot' or 2:'10 foot' presets.</v>
      </c>
      <c r="I1847" t="s">
        <v>2</v>
      </c>
      <c r="X1847" t="s">
        <v>17</v>
      </c>
    </row>
    <row r="1848" spans="1:25" x14ac:dyDescent="0.25">
      <c r="A1848" t="s">
        <v>5252</v>
      </c>
      <c r="C1848" t="s">
        <v>3080</v>
      </c>
      <c r="D1848" t="s">
        <v>25</v>
      </c>
      <c r="E1848" t="s">
        <v>3081</v>
      </c>
      <c r="H1848" t="str">
        <f t="shared" si="28"/>
        <v>Play a sound with HRTF spatialization.</v>
      </c>
    </row>
    <row r="1849" spans="1:25" x14ac:dyDescent="0.25">
      <c r="A1849" t="s">
        <v>5252</v>
      </c>
      <c r="C1849" t="s">
        <v>3082</v>
      </c>
      <c r="D1849" t="s">
        <v>25</v>
      </c>
      <c r="E1849" t="s">
        <v>3083</v>
      </c>
      <c r="H1849" t="str">
        <f t="shared" si="28"/>
        <v>Play a broadcast</v>
      </c>
    </row>
    <row r="1850" spans="1:25" x14ac:dyDescent="0.25">
      <c r="A1850" t="s">
        <v>5252</v>
      </c>
      <c r="C1850" t="s">
        <v>3084</v>
      </c>
      <c r="D1850" t="s">
        <v>25</v>
      </c>
      <c r="E1850" t="s">
        <v>3085</v>
      </c>
      <c r="H1850" t="str">
        <f t="shared" si="28"/>
        <v>Play a recorded demo file (.dem ).</v>
      </c>
    </row>
    <row r="1851" spans="1:25" x14ac:dyDescent="0.25">
      <c r="A1851" t="s">
        <v>5251</v>
      </c>
      <c r="C1851" t="s">
        <v>3086</v>
      </c>
      <c r="D1851">
        <v>5</v>
      </c>
      <c r="H1851">
        <f t="shared" si="28"/>
        <v>0</v>
      </c>
      <c r="I1851" t="s">
        <v>2</v>
      </c>
      <c r="X1851" t="s">
        <v>17</v>
      </c>
    </row>
    <row r="1852" spans="1:25" x14ac:dyDescent="0.25">
      <c r="A1852" t="s">
        <v>5251</v>
      </c>
      <c r="C1852" t="s">
        <v>3087</v>
      </c>
      <c r="D1852">
        <v>0</v>
      </c>
      <c r="H1852">
        <f t="shared" si="28"/>
        <v>0</v>
      </c>
      <c r="I1852" t="s">
        <v>2</v>
      </c>
      <c r="X1852" t="s">
        <v>17</v>
      </c>
    </row>
    <row r="1853" spans="1:25" x14ac:dyDescent="0.25">
      <c r="A1853" t="s">
        <v>5251</v>
      </c>
      <c r="C1853" t="s">
        <v>3088</v>
      </c>
      <c r="D1853">
        <v>0</v>
      </c>
      <c r="H1853">
        <f t="shared" si="28"/>
        <v>0</v>
      </c>
      <c r="I1853" t="s">
        <v>2</v>
      </c>
      <c r="X1853" t="s">
        <v>17</v>
      </c>
    </row>
    <row r="1854" spans="1:25" x14ac:dyDescent="0.25">
      <c r="A1854" t="s">
        <v>5251</v>
      </c>
      <c r="C1854" t="s">
        <v>3089</v>
      </c>
      <c r="D1854">
        <v>0</v>
      </c>
      <c r="E1854" t="s">
        <v>3090</v>
      </c>
      <c r="H1854" t="str">
        <f t="shared" si="28"/>
        <v>When true, print amount and type of all damage received by player to console.</v>
      </c>
      <c r="K1854" t="s">
        <v>4</v>
      </c>
      <c r="L1854" t="s">
        <v>5</v>
      </c>
    </row>
    <row r="1855" spans="1:25" x14ac:dyDescent="0.25">
      <c r="A1855" t="s">
        <v>5251</v>
      </c>
      <c r="C1855" t="s">
        <v>3091</v>
      </c>
      <c r="D1855">
        <v>1</v>
      </c>
      <c r="H1855">
        <f t="shared" si="28"/>
        <v>0</v>
      </c>
      <c r="I1855" t="s">
        <v>2</v>
      </c>
      <c r="X1855" t="s">
        <v>17</v>
      </c>
      <c r="Y1855" t="s">
        <v>18</v>
      </c>
    </row>
    <row r="1856" spans="1:25" x14ac:dyDescent="0.25">
      <c r="A1856" t="s">
        <v>5251</v>
      </c>
      <c r="C1856" t="s">
        <v>3092</v>
      </c>
      <c r="D1856" t="s">
        <v>25</v>
      </c>
      <c r="E1856" t="s">
        <v>3093</v>
      </c>
      <c r="H1856" t="str">
        <f t="shared" si="28"/>
        <v>Creates a ping notification where the player is looking.</v>
      </c>
    </row>
    <row r="1857" spans="1:25" x14ac:dyDescent="0.25">
      <c r="A1857" t="s">
        <v>5251</v>
      </c>
      <c r="C1857" t="s">
        <v>3094</v>
      </c>
      <c r="D1857">
        <v>20</v>
      </c>
      <c r="E1857" t="s">
        <v>3095</v>
      </c>
      <c r="H1857" t="str">
        <f t="shared" si="28"/>
        <v>Cooldown for how long it takes for a player's ping token to refresh allowing them to ping again (they get 5 tokens).</v>
      </c>
      <c r="K1857" t="s">
        <v>4</v>
      </c>
      <c r="L1857" t="s">
        <v>5</v>
      </c>
    </row>
    <row r="1858" spans="1:25" x14ac:dyDescent="0.25">
      <c r="A1858" t="s">
        <v>5251</v>
      </c>
      <c r="C1858" t="s">
        <v>3096</v>
      </c>
      <c r="D1858">
        <v>0</v>
      </c>
      <c r="H1858">
        <f t="shared" si="28"/>
        <v>0</v>
      </c>
      <c r="I1858" t="s">
        <v>2</v>
      </c>
      <c r="X1858" t="s">
        <v>17</v>
      </c>
    </row>
    <row r="1859" spans="1:25" x14ac:dyDescent="0.25">
      <c r="A1859" t="s">
        <v>5251</v>
      </c>
      <c r="C1859" t="s">
        <v>3097</v>
      </c>
      <c r="D1859">
        <v>2</v>
      </c>
      <c r="H1859">
        <f t="shared" ref="H1859:H1922" si="29">IF(F1859="",E1859, F1859 &amp; " - Original Helptext: " &amp;E1859)</f>
        <v>0</v>
      </c>
      <c r="I1859" t="s">
        <v>2</v>
      </c>
      <c r="X1859" t="s">
        <v>17</v>
      </c>
      <c r="Y1859" t="s">
        <v>18</v>
      </c>
    </row>
    <row r="1860" spans="1:25" x14ac:dyDescent="0.25">
      <c r="A1860" t="s">
        <v>5251</v>
      </c>
      <c r="C1860" t="s">
        <v>3098</v>
      </c>
      <c r="D1860">
        <v>0</v>
      </c>
      <c r="H1860">
        <f t="shared" si="29"/>
        <v>0</v>
      </c>
      <c r="I1860" t="s">
        <v>2</v>
      </c>
      <c r="X1860" t="s">
        <v>17</v>
      </c>
    </row>
    <row r="1861" spans="1:25" x14ac:dyDescent="0.25">
      <c r="A1861" t="s">
        <v>5251</v>
      </c>
      <c r="C1861" t="s">
        <v>3099</v>
      </c>
      <c r="D1861">
        <v>0</v>
      </c>
      <c r="H1861">
        <f t="shared" si="29"/>
        <v>0</v>
      </c>
      <c r="I1861" t="s">
        <v>2</v>
      </c>
      <c r="X1861" t="s">
        <v>17</v>
      </c>
    </row>
    <row r="1862" spans="1:25" x14ac:dyDescent="0.25">
      <c r="A1862" t="s">
        <v>5251</v>
      </c>
      <c r="C1862" t="s">
        <v>3100</v>
      </c>
      <c r="D1862" t="s">
        <v>25</v>
      </c>
      <c r="E1862" t="s">
        <v>3101</v>
      </c>
      <c r="H1862" t="str">
        <f t="shared" si="29"/>
        <v>Play a sound, reloading from disk in case of changes.</v>
      </c>
    </row>
    <row r="1863" spans="1:25" x14ac:dyDescent="0.25">
      <c r="A1863" t="s">
        <v>5252</v>
      </c>
      <c r="C1863" t="s">
        <v>3102</v>
      </c>
      <c r="D1863" t="s">
        <v>25</v>
      </c>
      <c r="E1863" t="s">
        <v>3103</v>
      </c>
      <c r="H1863" t="str">
        <f t="shared" si="29"/>
        <v>Play a sound from the game sounds txt file</v>
      </c>
    </row>
    <row r="1864" spans="1:25" x14ac:dyDescent="0.25">
      <c r="A1864" t="s">
        <v>5251</v>
      </c>
      <c r="C1864" t="s">
        <v>3104</v>
      </c>
      <c r="D1864" t="s">
        <v>25</v>
      </c>
      <c r="E1864" t="s">
        <v>3105</v>
      </c>
      <c r="H1864" t="str">
        <f t="shared" si="29"/>
        <v>Forces a soundscape to play</v>
      </c>
    </row>
    <row r="1865" spans="1:25" x14ac:dyDescent="0.25">
      <c r="A1865" t="s">
        <v>5251</v>
      </c>
      <c r="C1865" t="s">
        <v>3106</v>
      </c>
      <c r="D1865" t="s">
        <v>25</v>
      </c>
      <c r="E1865" t="s">
        <v>3107</v>
      </c>
      <c r="H1865" t="str">
        <f t="shared" si="29"/>
        <v>Plays a video: &lt;filename&gt; [width height]</v>
      </c>
    </row>
    <row r="1866" spans="1:25" x14ac:dyDescent="0.25">
      <c r="A1866" t="s">
        <v>5251</v>
      </c>
      <c r="C1866" t="s">
        <v>3108</v>
      </c>
      <c r="D1866" t="s">
        <v>25</v>
      </c>
      <c r="E1866" t="s">
        <v>3109</v>
      </c>
      <c r="H1866" t="str">
        <f t="shared" si="29"/>
        <v>Plays a video fullscreen without ability to skip (unless dev 1) and fades in: &lt;filename&gt; &lt;time&gt;</v>
      </c>
    </row>
    <row r="1867" spans="1:25" x14ac:dyDescent="0.25">
      <c r="A1867" t="s">
        <v>5251</v>
      </c>
      <c r="C1867" t="s">
        <v>3110</v>
      </c>
      <c r="D1867" t="s">
        <v>25</v>
      </c>
      <c r="E1867" t="s">
        <v>3111</v>
      </c>
      <c r="H1867" t="str">
        <f t="shared" si="29"/>
        <v>Plays a video and fires and exit command when it is stopped or finishes: &lt;filename&gt; &lt;exit command&gt;</v>
      </c>
    </row>
    <row r="1868" spans="1:25" x14ac:dyDescent="0.25">
      <c r="A1868" t="s">
        <v>5251</v>
      </c>
      <c r="C1868" t="s">
        <v>3112</v>
      </c>
      <c r="D1868" t="s">
        <v>25</v>
      </c>
      <c r="E1868" t="s">
        <v>3113</v>
      </c>
      <c r="H1868" t="str">
        <f t="shared" si="29"/>
        <v>Plays a video (without interruption) and fires and exit command when it is stopped or finishes: &lt;filename&gt; &lt;exit command&gt;</v>
      </c>
    </row>
    <row r="1869" spans="1:25" x14ac:dyDescent="0.25">
      <c r="A1869" t="s">
        <v>5251</v>
      </c>
      <c r="C1869" t="s">
        <v>3114</v>
      </c>
      <c r="D1869" t="s">
        <v>25</v>
      </c>
      <c r="E1869" t="s">
        <v>3115</v>
      </c>
      <c r="H1869" t="str">
        <f t="shared" si="29"/>
        <v>Plays a video without ability to skip: &lt;filename&gt; [width height]</v>
      </c>
    </row>
    <row r="1870" spans="1:25" x14ac:dyDescent="0.25">
      <c r="A1870" t="s">
        <v>5251</v>
      </c>
      <c r="C1870" t="s">
        <v>3116</v>
      </c>
      <c r="D1870" t="s">
        <v>25</v>
      </c>
      <c r="E1870" t="s">
        <v>3117</v>
      </c>
      <c r="H1870" t="str">
        <f t="shared" si="29"/>
        <v>Play a sound at a specified volume.</v>
      </c>
    </row>
    <row r="1871" spans="1:25" x14ac:dyDescent="0.25">
      <c r="A1871" t="s">
        <v>5251</v>
      </c>
      <c r="C1871" t="s">
        <v>3118</v>
      </c>
      <c r="D1871" t="s">
        <v>25</v>
      </c>
      <c r="E1871" t="s">
        <v>3119</v>
      </c>
      <c r="H1871" t="str">
        <f t="shared" si="29"/>
        <v>plugin_load &lt;filename&gt; : loads a plugin</v>
      </c>
    </row>
    <row r="1872" spans="1:25" x14ac:dyDescent="0.25">
      <c r="A1872" t="s">
        <v>5251</v>
      </c>
      <c r="C1872" t="s">
        <v>3120</v>
      </c>
      <c r="D1872" t="s">
        <v>25</v>
      </c>
      <c r="E1872" t="s">
        <v>3121</v>
      </c>
      <c r="H1872" t="str">
        <f t="shared" si="29"/>
        <v>plugin_pause &lt;index&gt; : pauses a loaded plugin</v>
      </c>
    </row>
    <row r="1873" spans="1:24" x14ac:dyDescent="0.25">
      <c r="A1873" t="s">
        <v>5251</v>
      </c>
      <c r="C1873" t="s">
        <v>3122</v>
      </c>
      <c r="D1873" t="s">
        <v>25</v>
      </c>
      <c r="E1873" t="s">
        <v>3123</v>
      </c>
      <c r="H1873" t="str">
        <f t="shared" si="29"/>
        <v>pauses all loaded plugins</v>
      </c>
    </row>
    <row r="1874" spans="1:24" x14ac:dyDescent="0.25">
      <c r="A1874" t="s">
        <v>5251</v>
      </c>
      <c r="C1874" t="s">
        <v>3124</v>
      </c>
      <c r="D1874" t="s">
        <v>25</v>
      </c>
      <c r="E1874" t="s">
        <v>3125</v>
      </c>
      <c r="H1874" t="str">
        <f t="shared" si="29"/>
        <v>Prints details about loaded plugins</v>
      </c>
    </row>
    <row r="1875" spans="1:24" x14ac:dyDescent="0.25">
      <c r="A1875" t="s">
        <v>5251</v>
      </c>
      <c r="C1875" t="s">
        <v>3126</v>
      </c>
      <c r="D1875" t="s">
        <v>25</v>
      </c>
      <c r="E1875" t="s">
        <v>3127</v>
      </c>
      <c r="H1875" t="str">
        <f t="shared" si="29"/>
        <v>plugin_unload &lt;index&gt; : unloads a plugin</v>
      </c>
    </row>
    <row r="1876" spans="1:24" x14ac:dyDescent="0.25">
      <c r="A1876" t="s">
        <v>5251</v>
      </c>
      <c r="C1876" t="s">
        <v>3128</v>
      </c>
      <c r="D1876" t="s">
        <v>25</v>
      </c>
      <c r="E1876" t="s">
        <v>3129</v>
      </c>
      <c r="H1876" t="str">
        <f t="shared" si="29"/>
        <v>plugin_unpause &lt;index&gt; : unpauses a disabled plugin</v>
      </c>
    </row>
    <row r="1877" spans="1:24" x14ac:dyDescent="0.25">
      <c r="A1877" t="s">
        <v>5251</v>
      </c>
      <c r="C1877" t="s">
        <v>3130</v>
      </c>
      <c r="D1877" t="s">
        <v>25</v>
      </c>
      <c r="E1877" t="s">
        <v>3131</v>
      </c>
      <c r="H1877" t="str">
        <f t="shared" si="29"/>
        <v>unpauses all disabled plugins</v>
      </c>
    </row>
    <row r="1878" spans="1:24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H1878" t="str">
        <f t="shared" si="29"/>
        <v>This determines how long the third person player character will crouch for after landing a jump.  This only affects the third p</v>
      </c>
      <c r="L1878" t="s">
        <v>5</v>
      </c>
      <c r="S1878" t="s">
        <v>12</v>
      </c>
      <c r="X1878" t="s">
        <v>17</v>
      </c>
    </row>
    <row r="1879" spans="1:24" x14ac:dyDescent="0.25">
      <c r="A1879" t="s">
        <v>5251</v>
      </c>
      <c r="C1879" t="s">
        <v>3134</v>
      </c>
      <c r="D1879" t="s">
        <v>25</v>
      </c>
      <c r="E1879" t="s">
        <v>3135</v>
      </c>
      <c r="H1879" t="str">
        <f t="shared" si="29"/>
        <v>Press the specified Xbox 360 controller button (lt, rt, st[art], ba[ck], lb, rb, a, b, x, y, l[eft], r[right], u[p], d[own])</v>
      </c>
    </row>
    <row r="1880" spans="1:24" x14ac:dyDescent="0.25">
      <c r="A1880" t="s">
        <v>5251</v>
      </c>
      <c r="C1880" t="s">
        <v>3136</v>
      </c>
      <c r="D1880" t="s">
        <v>25</v>
      </c>
      <c r="E1880" t="s">
        <v>3137</v>
      </c>
      <c r="H1880" t="str">
        <f t="shared" si="29"/>
        <v>Display the color correction layer information.</v>
      </c>
    </row>
    <row r="1881" spans="1:24" x14ac:dyDescent="0.25">
      <c r="A1881" t="s">
        <v>5251</v>
      </c>
      <c r="C1881" t="s">
        <v>3138</v>
      </c>
      <c r="D1881" t="s">
        <v>25</v>
      </c>
      <c r="E1881" t="s">
        <v>3139</v>
      </c>
      <c r="H1881" t="str">
        <f t="shared" si="29"/>
        <v>Prints the current mapgroup and the contained maps</v>
      </c>
    </row>
    <row r="1882" spans="1:24" x14ac:dyDescent="0.25">
      <c r="A1882" t="s">
        <v>5251</v>
      </c>
      <c r="C1882" t="s">
        <v>3140</v>
      </c>
      <c r="D1882" t="s">
        <v>25</v>
      </c>
      <c r="E1882" t="s">
        <v>3139</v>
      </c>
      <c r="H1882" t="str">
        <f t="shared" si="29"/>
        <v>Prints the current mapgroup and the contained maps</v>
      </c>
    </row>
    <row r="1883" spans="1:24" x14ac:dyDescent="0.25">
      <c r="A1883" t="s">
        <v>5251</v>
      </c>
      <c r="C1883" t="s">
        <v>3141</v>
      </c>
      <c r="D1883" t="s">
        <v>25</v>
      </c>
      <c r="H1883">
        <f t="shared" si="29"/>
        <v>0</v>
      </c>
    </row>
    <row r="1884" spans="1:24" x14ac:dyDescent="0.25">
      <c r="A1884" t="s">
        <v>5251</v>
      </c>
      <c r="C1884" t="s">
        <v>3142</v>
      </c>
      <c r="D1884" t="s">
        <v>25</v>
      </c>
      <c r="E1884" t="s">
        <v>3143</v>
      </c>
      <c r="H1884" t="str">
        <f t="shared" si="29"/>
        <v>Shows name for prop looking at</v>
      </c>
    </row>
    <row r="1885" spans="1:24" x14ac:dyDescent="0.25">
      <c r="A1885" t="s">
        <v>5251</v>
      </c>
      <c r="C1885" t="s">
        <v>3144</v>
      </c>
      <c r="D1885" t="s">
        <v>25</v>
      </c>
      <c r="E1885" t="s">
        <v>3145</v>
      </c>
      <c r="H1885" t="str">
        <f t="shared" si="29"/>
        <v>Toggle prop debug mode. If on, props will show colorcoded bounding boxes. Red means ignore all damage. White means respond phys</v>
      </c>
    </row>
    <row r="1886" spans="1:24" x14ac:dyDescent="0.25">
      <c r="A1886" t="s">
        <v>5251</v>
      </c>
      <c r="C1886" t="s">
        <v>3146</v>
      </c>
      <c r="D1886" t="s">
        <v>25</v>
      </c>
      <c r="E1886" t="s">
        <v>5223</v>
      </c>
      <c r="H1886" t="str">
        <f t="shared" si="29"/>
        <v>Creates a dynamic prop with a specific .mdl aimed away from where the player is looking. 	Arguments: {.mdl name}</v>
      </c>
    </row>
    <row r="1887" spans="1:24" x14ac:dyDescent="0.25">
      <c r="A1887" t="s">
        <v>5251</v>
      </c>
      <c r="C1887" t="s">
        <v>3147</v>
      </c>
      <c r="D1887" t="s">
        <v>25</v>
      </c>
      <c r="E1887" t="s">
        <v>5224</v>
      </c>
      <c r="H1887" t="str">
        <f t="shared" si="29"/>
        <v>Creates a physics prop with a specific .mdl aimed away from where the player is looking. 	Arguments: {.mdl name}</v>
      </c>
    </row>
    <row r="1888" spans="1:24" x14ac:dyDescent="0.25">
      <c r="A1888" t="s">
        <v>5251</v>
      </c>
      <c r="C1888" t="s">
        <v>3148</v>
      </c>
      <c r="D1888">
        <v>1500</v>
      </c>
      <c r="E1888" t="s">
        <v>3149</v>
      </c>
      <c r="H1888" t="str">
        <f t="shared" si="29"/>
        <v>Min distance to player at which PVS is used. At closer distances, PVS assumes we can see a shadow or something else from the pl</v>
      </c>
      <c r="K1888" t="s">
        <v>4</v>
      </c>
    </row>
    <row r="1889" spans="1:24" x14ac:dyDescent="0.25">
      <c r="A1889" t="s">
        <v>5251</v>
      </c>
      <c r="C1889" t="s">
        <v>3150</v>
      </c>
      <c r="D1889">
        <v>-1</v>
      </c>
      <c r="E1889" t="s">
        <v>3151</v>
      </c>
      <c r="H1889" t="str">
        <f t="shared" si="29"/>
        <v>Entity to watch for prediction system changes.</v>
      </c>
      <c r="L1889" t="s">
        <v>5</v>
      </c>
      <c r="X1889" t="s">
        <v>17</v>
      </c>
    </row>
    <row r="1890" spans="1:24" x14ac:dyDescent="0.25">
      <c r="A1890" t="s">
        <v>5251</v>
      </c>
      <c r="C1890" t="s">
        <v>3152</v>
      </c>
      <c r="D1890">
        <v>0</v>
      </c>
      <c r="E1890" t="s">
        <v>3153</v>
      </c>
      <c r="H1890" t="str">
        <f t="shared" si="29"/>
        <v>Entity variable to watch in prediction system for changes.</v>
      </c>
      <c r="L1890" t="s">
        <v>5</v>
      </c>
      <c r="X1890" t="s">
        <v>17</v>
      </c>
    </row>
    <row r="1891" spans="1:24" x14ac:dyDescent="0.25">
      <c r="A1891" t="s">
        <v>5251</v>
      </c>
      <c r="B1891" t="s">
        <v>25</v>
      </c>
      <c r="C1891" t="s">
        <v>3154</v>
      </c>
      <c r="D1891" t="s">
        <v>25</v>
      </c>
      <c r="H1891">
        <f t="shared" si="29"/>
        <v>0</v>
      </c>
    </row>
    <row r="1892" spans="1:24" x14ac:dyDescent="0.25">
      <c r="A1892" t="s">
        <v>5251</v>
      </c>
      <c r="B1892" t="s">
        <v>25</v>
      </c>
      <c r="C1892" t="s">
        <v>3155</v>
      </c>
      <c r="D1892" t="s">
        <v>25</v>
      </c>
      <c r="H1892">
        <f t="shared" si="29"/>
        <v>0</v>
      </c>
    </row>
    <row r="1893" spans="1:24" x14ac:dyDescent="0.25">
      <c r="A1893" t="s">
        <v>5253</v>
      </c>
      <c r="C1893" t="s">
        <v>3156</v>
      </c>
      <c r="D1893" t="s">
        <v>25</v>
      </c>
      <c r="E1893" t="s">
        <v>1235</v>
      </c>
      <c r="H1893" t="str">
        <f t="shared" si="29"/>
        <v>Exit the engine.</v>
      </c>
    </row>
    <row r="1894" spans="1:24" x14ac:dyDescent="0.25">
      <c r="A1894" t="s">
        <v>5251</v>
      </c>
      <c r="C1894" t="s">
        <v>3157</v>
      </c>
      <c r="D1894" t="s">
        <v>25</v>
      </c>
      <c r="E1894" t="s">
        <v>1235</v>
      </c>
      <c r="H1894" t="str">
        <f t="shared" si="29"/>
        <v>Exit the engine.</v>
      </c>
    </row>
    <row r="1895" spans="1:24" x14ac:dyDescent="0.25">
      <c r="A1895" t="s">
        <v>5251</v>
      </c>
      <c r="C1895" t="s">
        <v>3158</v>
      </c>
      <c r="D1895">
        <v>1</v>
      </c>
      <c r="H1895">
        <f t="shared" si="29"/>
        <v>0</v>
      </c>
      <c r="L1895" t="s">
        <v>5</v>
      </c>
      <c r="N1895" t="s">
        <v>7</v>
      </c>
      <c r="S1895" t="s">
        <v>12</v>
      </c>
      <c r="X1895" t="s">
        <v>17</v>
      </c>
    </row>
    <row r="1896" spans="1:24" x14ac:dyDescent="0.25">
      <c r="A1896" t="s">
        <v>5251</v>
      </c>
      <c r="C1896" t="s">
        <v>3159</v>
      </c>
      <c r="D1896">
        <v>7</v>
      </c>
      <c r="H1896">
        <f t="shared" si="29"/>
        <v>0</v>
      </c>
      <c r="L1896" t="s">
        <v>5</v>
      </c>
      <c r="N1896" t="s">
        <v>7</v>
      </c>
      <c r="S1896" t="s">
        <v>12</v>
      </c>
      <c r="X1896" t="s">
        <v>17</v>
      </c>
    </row>
    <row r="1897" spans="1:24" x14ac:dyDescent="0.25">
      <c r="A1897" t="s">
        <v>5251</v>
      </c>
      <c r="C1897" t="s">
        <v>3160</v>
      </c>
      <c r="D1897">
        <v>0</v>
      </c>
      <c r="H1897">
        <f t="shared" si="29"/>
        <v>0</v>
      </c>
      <c r="L1897" t="s">
        <v>5</v>
      </c>
      <c r="N1897" t="s">
        <v>7</v>
      </c>
      <c r="S1897" t="s">
        <v>12</v>
      </c>
      <c r="X1897" t="s">
        <v>17</v>
      </c>
    </row>
    <row r="1898" spans="1:24" x14ac:dyDescent="0.25">
      <c r="A1898" t="s">
        <v>5251</v>
      </c>
      <c r="C1898" t="s">
        <v>3161</v>
      </c>
      <c r="D1898">
        <v>1</v>
      </c>
      <c r="E1898" t="s">
        <v>3162</v>
      </c>
      <c r="H1898" t="str">
        <f t="shared" si="29"/>
        <v>Account for FOV when computing an entity's distance-based alpha fade</v>
      </c>
      <c r="L1898" t="s">
        <v>5</v>
      </c>
      <c r="X1898" t="s">
        <v>17</v>
      </c>
    </row>
    <row r="1899" spans="1:24" x14ac:dyDescent="0.25">
      <c r="A1899" t="s">
        <v>5251</v>
      </c>
      <c r="C1899" t="s">
        <v>3163</v>
      </c>
      <c r="D1899">
        <v>0</v>
      </c>
      <c r="E1899" t="s">
        <v>3164</v>
      </c>
      <c r="H1899" t="str">
        <f t="shared" si="29"/>
        <v>Fraction of direct lighting used to boost lighting when model requests</v>
      </c>
      <c r="L1899" t="s">
        <v>5</v>
      </c>
    </row>
    <row r="1900" spans="1:24" x14ac:dyDescent="0.25">
      <c r="A1900" t="s">
        <v>5251</v>
      </c>
      <c r="C1900" t="s">
        <v>3165</v>
      </c>
      <c r="D1900">
        <v>0</v>
      </c>
      <c r="E1900" t="s">
        <v>3166</v>
      </c>
      <c r="H1900" t="str">
        <f t="shared" si="29"/>
        <v>Set this to 1 to light models with only ambient lighting (and no static lighting).</v>
      </c>
      <c r="L1900" t="s">
        <v>5</v>
      </c>
    </row>
    <row r="1901" spans="1:24" x14ac:dyDescent="0.25">
      <c r="A1901" t="s">
        <v>5251</v>
      </c>
      <c r="C1901" t="s">
        <v>3167</v>
      </c>
      <c r="D1901">
        <v>1</v>
      </c>
      <c r="H1901">
        <f t="shared" si="29"/>
        <v>0</v>
      </c>
      <c r="L1901" t="s">
        <v>5</v>
      </c>
    </row>
    <row r="1902" spans="1:24" x14ac:dyDescent="0.25">
      <c r="A1902" t="s">
        <v>5251</v>
      </c>
      <c r="C1902" t="s">
        <v>3168</v>
      </c>
      <c r="D1902">
        <v>0</v>
      </c>
      <c r="H1902">
        <f t="shared" si="29"/>
        <v>0</v>
      </c>
      <c r="L1902" t="s">
        <v>5</v>
      </c>
    </row>
    <row r="1903" spans="1:24" x14ac:dyDescent="0.25">
      <c r="A1903" t="s">
        <v>5251</v>
      </c>
      <c r="C1903" t="s">
        <v>3169</v>
      </c>
      <c r="D1903">
        <v>0</v>
      </c>
      <c r="H1903">
        <f t="shared" si="29"/>
        <v>0</v>
      </c>
      <c r="L1903" t="s">
        <v>5</v>
      </c>
    </row>
    <row r="1904" spans="1:24" x14ac:dyDescent="0.25">
      <c r="A1904" t="s">
        <v>5251</v>
      </c>
      <c r="C1904" t="s">
        <v>3170</v>
      </c>
      <c r="D1904" t="s">
        <v>25</v>
      </c>
      <c r="H1904">
        <f t="shared" si="29"/>
        <v>0</v>
      </c>
    </row>
    <row r="1905" spans="1:24" x14ac:dyDescent="0.25">
      <c r="A1905" t="s">
        <v>5251</v>
      </c>
      <c r="C1905" t="s">
        <v>3171</v>
      </c>
      <c r="D1905" t="s">
        <v>25</v>
      </c>
      <c r="H1905">
        <f t="shared" si="29"/>
        <v>0</v>
      </c>
    </row>
    <row r="1906" spans="1:24" x14ac:dyDescent="0.25">
      <c r="A1906" t="s">
        <v>5251</v>
      </c>
      <c r="C1906" t="s">
        <v>3172</v>
      </c>
      <c r="D1906" t="s">
        <v>25</v>
      </c>
      <c r="E1906" t="s">
        <v>3173</v>
      </c>
      <c r="H1906" t="str">
        <f t="shared" si="29"/>
        <v>Usage r_cleardecals &lt;permanent&gt;.</v>
      </c>
    </row>
    <row r="1907" spans="1:24" x14ac:dyDescent="0.25">
      <c r="A1907" t="s">
        <v>5251</v>
      </c>
      <c r="C1907" t="s">
        <v>3174</v>
      </c>
      <c r="D1907">
        <v>1</v>
      </c>
      <c r="H1907">
        <f t="shared" si="29"/>
        <v>0</v>
      </c>
      <c r="L1907" t="s">
        <v>5</v>
      </c>
    </row>
    <row r="1908" spans="1:24" x14ac:dyDescent="0.25">
      <c r="A1908" t="s">
        <v>5251</v>
      </c>
      <c r="C1908" t="s">
        <v>3175</v>
      </c>
      <c r="D1908">
        <v>1</v>
      </c>
      <c r="H1908">
        <f t="shared" si="29"/>
        <v>0</v>
      </c>
      <c r="L1908" t="s">
        <v>5</v>
      </c>
    </row>
    <row r="1909" spans="1:24" x14ac:dyDescent="0.25">
      <c r="A1909" t="s">
        <v>5251</v>
      </c>
      <c r="C1909" t="s">
        <v>3176</v>
      </c>
      <c r="D1909">
        <v>0</v>
      </c>
      <c r="H1909">
        <f t="shared" si="29"/>
        <v>0</v>
      </c>
      <c r="L1909" t="s">
        <v>5</v>
      </c>
    </row>
    <row r="1910" spans="1:24" x14ac:dyDescent="0.25">
      <c r="A1910" t="s">
        <v>5251</v>
      </c>
      <c r="C1910" t="s">
        <v>3177</v>
      </c>
      <c r="D1910">
        <v>0</v>
      </c>
      <c r="H1910">
        <f t="shared" si="29"/>
        <v>0</v>
      </c>
      <c r="L1910" t="s">
        <v>5</v>
      </c>
      <c r="X1910" t="s">
        <v>17</v>
      </c>
    </row>
    <row r="1911" spans="1:24" x14ac:dyDescent="0.25">
      <c r="A1911" t="s">
        <v>5251</v>
      </c>
      <c r="C1911" t="s">
        <v>3178</v>
      </c>
      <c r="D1911">
        <v>0</v>
      </c>
      <c r="E1911" t="s">
        <v>3179</v>
      </c>
      <c r="H1911" t="str">
        <f t="shared" si="29"/>
        <v>Set to 1 to randomize static lighting for debugging.  Must restart for change to take affect.</v>
      </c>
      <c r="L1911" t="s">
        <v>5</v>
      </c>
    </row>
    <row r="1912" spans="1:24" x14ac:dyDescent="0.25">
      <c r="A1912" t="s">
        <v>5251</v>
      </c>
      <c r="C1912" t="s">
        <v>3180</v>
      </c>
      <c r="D1912">
        <v>0</v>
      </c>
      <c r="E1912" t="s">
        <v>3181</v>
      </c>
      <c r="H1912" t="str">
        <f t="shared" si="29"/>
        <v>Replaces opaque objects with their grayscaled depth values. r_showz_power scales the output.</v>
      </c>
      <c r="L1912" t="s">
        <v>5</v>
      </c>
      <c r="X1912" t="s">
        <v>17</v>
      </c>
    </row>
    <row r="1913" spans="1:24" x14ac:dyDescent="0.25">
      <c r="A1913" t="s">
        <v>5251</v>
      </c>
      <c r="C1913" t="s">
        <v>3182</v>
      </c>
      <c r="D1913">
        <v>0</v>
      </c>
      <c r="E1913" t="s">
        <v>3183</v>
      </c>
      <c r="H1913" t="str">
        <f t="shared" si="29"/>
        <v>Completely disable distance fading on large props</v>
      </c>
      <c r="L1913" t="s">
        <v>5</v>
      </c>
      <c r="X1913" t="s">
        <v>17</v>
      </c>
    </row>
    <row r="1914" spans="1:24" x14ac:dyDescent="0.25">
      <c r="A1914" t="s">
        <v>5251</v>
      </c>
      <c r="C1914" t="s">
        <v>3184</v>
      </c>
      <c r="D1914">
        <v>48000</v>
      </c>
      <c r="E1914" t="s">
        <v>3185</v>
      </c>
      <c r="H1914" t="str">
        <f t="shared" si="29"/>
        <v>Distance prop fade disable threshold size</v>
      </c>
      <c r="L1914" t="s">
        <v>5</v>
      </c>
      <c r="X1914" t="s">
        <v>17</v>
      </c>
    </row>
    <row r="1915" spans="1:24" x14ac:dyDescent="0.25">
      <c r="A1915" t="s">
        <v>5251</v>
      </c>
      <c r="C1915" t="s">
        <v>3186</v>
      </c>
      <c r="D1915">
        <v>0</v>
      </c>
      <c r="E1915" t="s">
        <v>3187</v>
      </c>
      <c r="H1915" t="str">
        <f t="shared" si="29"/>
        <v>If non-zero when a map loads, static props won't be loaded</v>
      </c>
      <c r="L1915" t="s">
        <v>5</v>
      </c>
    </row>
    <row r="1916" spans="1:24" x14ac:dyDescent="0.25">
      <c r="A1916" t="s">
        <v>5251</v>
      </c>
      <c r="C1916" t="s">
        <v>3188</v>
      </c>
      <c r="D1916">
        <v>1</v>
      </c>
      <c r="H1916">
        <f t="shared" si="29"/>
        <v>0</v>
      </c>
      <c r="L1916" t="s">
        <v>5</v>
      </c>
      <c r="X1916" t="s">
        <v>17</v>
      </c>
    </row>
    <row r="1917" spans="1:24" x14ac:dyDescent="0.25">
      <c r="A1917" t="s">
        <v>5251</v>
      </c>
      <c r="C1917" t="s">
        <v>3189</v>
      </c>
      <c r="D1917">
        <v>0</v>
      </c>
      <c r="H1917">
        <f t="shared" si="29"/>
        <v>0</v>
      </c>
      <c r="L1917" t="s">
        <v>5</v>
      </c>
    </row>
    <row r="1918" spans="1:24" x14ac:dyDescent="0.25">
      <c r="A1918" t="s">
        <v>5251</v>
      </c>
      <c r="C1918" t="s">
        <v>3190</v>
      </c>
      <c r="D1918">
        <v>0</v>
      </c>
      <c r="H1918">
        <f t="shared" si="29"/>
        <v>0</v>
      </c>
      <c r="L1918" t="s">
        <v>5</v>
      </c>
    </row>
    <row r="1919" spans="1:24" x14ac:dyDescent="0.25">
      <c r="A1919" t="s">
        <v>5251</v>
      </c>
      <c r="C1919" t="s">
        <v>3191</v>
      </c>
      <c r="D1919">
        <v>1</v>
      </c>
      <c r="H1919">
        <f t="shared" si="29"/>
        <v>0</v>
      </c>
      <c r="L1919" t="s">
        <v>5</v>
      </c>
    </row>
    <row r="1920" spans="1:24" x14ac:dyDescent="0.25">
      <c r="A1920" t="s">
        <v>5251</v>
      </c>
      <c r="C1920" t="s">
        <v>3192</v>
      </c>
      <c r="D1920">
        <v>0</v>
      </c>
      <c r="E1920" t="s">
        <v>3193</v>
      </c>
      <c r="H1920" t="str">
        <f t="shared" si="29"/>
        <v>Draw all renderables, even ones inside solid leaves.</v>
      </c>
      <c r="L1920" t="s">
        <v>5</v>
      </c>
      <c r="X1920" t="s">
        <v>17</v>
      </c>
    </row>
    <row r="1921" spans="1:24" x14ac:dyDescent="0.25">
      <c r="A1921" t="s">
        <v>5251</v>
      </c>
      <c r="C1921" t="s">
        <v>3194</v>
      </c>
      <c r="D1921">
        <v>1</v>
      </c>
      <c r="E1921" t="s">
        <v>3195</v>
      </c>
      <c r="H1921" t="str">
        <f t="shared" si="29"/>
        <v>0=Off, 1=Normal, 2=Wireframe</v>
      </c>
      <c r="L1921" t="s">
        <v>5</v>
      </c>
    </row>
    <row r="1922" spans="1:24" x14ac:dyDescent="0.25">
      <c r="A1922" t="s">
        <v>5251</v>
      </c>
      <c r="C1922" t="s">
        <v>3196</v>
      </c>
      <c r="D1922">
        <v>1</v>
      </c>
      <c r="E1922" t="s">
        <v>3197</v>
      </c>
      <c r="H1922" t="str">
        <f t="shared" si="29"/>
        <v>Render brush models. 0=Off, 1=Normal, 2=Wireframe</v>
      </c>
      <c r="L1922" t="s">
        <v>5</v>
      </c>
    </row>
    <row r="1923" spans="1:24" x14ac:dyDescent="0.25">
      <c r="A1923" t="s">
        <v>5251</v>
      </c>
      <c r="C1923" t="s">
        <v>3198</v>
      </c>
      <c r="D1923">
        <v>0</v>
      </c>
      <c r="E1923" t="s">
        <v>3199</v>
      </c>
      <c r="H1923" t="str">
        <f t="shared" ref="H1923:H1986" si="30">IF(F1923="",E1923, F1923 &amp; " - Original Helptext: " &amp;E1923)</f>
        <v>Draw clip brushes (red=NPC+player, pink=player, purple=NPC)</v>
      </c>
      <c r="L1923" t="s">
        <v>5</v>
      </c>
    </row>
    <row r="1924" spans="1:24" x14ac:dyDescent="0.25">
      <c r="A1924" t="s">
        <v>5251</v>
      </c>
      <c r="C1924" t="s">
        <v>3200</v>
      </c>
      <c r="D1924">
        <v>1</v>
      </c>
      <c r="E1924" t="s">
        <v>3201</v>
      </c>
      <c r="H1924" t="str">
        <f t="shared" si="30"/>
        <v>Render decals.</v>
      </c>
      <c r="L1924" t="s">
        <v>5</v>
      </c>
    </row>
    <row r="1925" spans="1:24" x14ac:dyDescent="0.25">
      <c r="A1925" t="s">
        <v>5251</v>
      </c>
      <c r="C1925" t="s">
        <v>3202</v>
      </c>
      <c r="D1925">
        <v>1</v>
      </c>
      <c r="E1925" t="s">
        <v>3203</v>
      </c>
      <c r="H1925" t="str">
        <f t="shared" si="30"/>
        <v>Toggles rendering of displacment maps</v>
      </c>
      <c r="L1925" t="s">
        <v>5</v>
      </c>
    </row>
    <row r="1926" spans="1:24" x14ac:dyDescent="0.25">
      <c r="A1926" t="s">
        <v>5251</v>
      </c>
      <c r="C1926" t="s">
        <v>3204</v>
      </c>
      <c r="D1926">
        <v>1</v>
      </c>
      <c r="H1926">
        <f t="shared" si="30"/>
        <v>0</v>
      </c>
      <c r="L1926" t="s">
        <v>5</v>
      </c>
    </row>
    <row r="1927" spans="1:24" x14ac:dyDescent="0.25">
      <c r="A1927" t="s">
        <v>5251</v>
      </c>
      <c r="C1927" t="s">
        <v>3205</v>
      </c>
      <c r="D1927">
        <v>1</v>
      </c>
      <c r="E1927" t="s">
        <v>3206</v>
      </c>
      <c r="H1927" t="str">
        <f t="shared" si="30"/>
        <v>Render func_detail</v>
      </c>
      <c r="L1927" t="s">
        <v>5</v>
      </c>
    </row>
    <row r="1928" spans="1:24" x14ac:dyDescent="0.25">
      <c r="A1928" t="s">
        <v>5251</v>
      </c>
      <c r="C1928" t="s">
        <v>3207</v>
      </c>
      <c r="D1928">
        <v>-1</v>
      </c>
      <c r="E1928" t="s">
        <v>3208</v>
      </c>
      <c r="H1928" t="str">
        <f t="shared" si="30"/>
        <v>Draw the specified leaf.</v>
      </c>
      <c r="L1928" t="s">
        <v>5</v>
      </c>
    </row>
    <row r="1929" spans="1:24" x14ac:dyDescent="0.25">
      <c r="A1929" t="s">
        <v>5251</v>
      </c>
      <c r="C1929" t="s">
        <v>3209</v>
      </c>
      <c r="D1929">
        <v>0</v>
      </c>
      <c r="E1929" t="s">
        <v>5225</v>
      </c>
      <c r="H1929" t="str">
        <f t="shared" si="30"/>
        <v>0: off 1: draw light cache entries 2: draw rays</v>
      </c>
      <c r="L1929" t="s">
        <v>5</v>
      </c>
    </row>
    <row r="1930" spans="1:24" x14ac:dyDescent="0.25">
      <c r="A1930" t="s">
        <v>5251</v>
      </c>
      <c r="C1930" t="s">
        <v>3210</v>
      </c>
      <c r="D1930">
        <v>0</v>
      </c>
      <c r="H1930">
        <f t="shared" si="30"/>
        <v>0</v>
      </c>
      <c r="L1930" t="s">
        <v>5</v>
      </c>
    </row>
    <row r="1931" spans="1:24" x14ac:dyDescent="0.25">
      <c r="A1931" t="s">
        <v>5251</v>
      </c>
      <c r="C1931" t="s">
        <v>3211</v>
      </c>
      <c r="D1931">
        <v>0</v>
      </c>
      <c r="H1931">
        <f t="shared" si="30"/>
        <v>0</v>
      </c>
      <c r="L1931" t="s">
        <v>5</v>
      </c>
    </row>
    <row r="1932" spans="1:24" x14ac:dyDescent="0.25">
      <c r="A1932" t="s">
        <v>5251</v>
      </c>
      <c r="C1932" t="s">
        <v>3212</v>
      </c>
      <c r="D1932">
        <v>0</v>
      </c>
      <c r="H1932">
        <f t="shared" si="30"/>
        <v>0</v>
      </c>
      <c r="L1932" t="s">
        <v>5</v>
      </c>
    </row>
    <row r="1933" spans="1:24" x14ac:dyDescent="0.25">
      <c r="A1933" t="s">
        <v>5251</v>
      </c>
      <c r="C1933" t="s">
        <v>3213</v>
      </c>
      <c r="D1933">
        <v>0</v>
      </c>
      <c r="H1933">
        <f t="shared" si="30"/>
        <v>0</v>
      </c>
      <c r="L1933" t="s">
        <v>5</v>
      </c>
      <c r="S1933" t="s">
        <v>12</v>
      </c>
      <c r="X1933" t="s">
        <v>17</v>
      </c>
    </row>
    <row r="1934" spans="1:24" x14ac:dyDescent="0.25">
      <c r="A1934" t="s">
        <v>5251</v>
      </c>
      <c r="C1934" t="s">
        <v>3214</v>
      </c>
      <c r="D1934">
        <v>0</v>
      </c>
      <c r="H1934">
        <f t="shared" si="30"/>
        <v>0</v>
      </c>
      <c r="L1934" t="s">
        <v>5</v>
      </c>
    </row>
    <row r="1935" spans="1:24" x14ac:dyDescent="0.25">
      <c r="A1935" t="s">
        <v>5251</v>
      </c>
      <c r="C1935" t="s">
        <v>3215</v>
      </c>
      <c r="D1935">
        <v>500</v>
      </c>
      <c r="H1935">
        <f t="shared" si="30"/>
        <v>0</v>
      </c>
      <c r="L1935" t="s">
        <v>5</v>
      </c>
    </row>
    <row r="1936" spans="1:24" x14ac:dyDescent="0.25">
      <c r="A1936" t="s">
        <v>5251</v>
      </c>
      <c r="C1936" t="s">
        <v>3216</v>
      </c>
      <c r="D1936">
        <v>-1</v>
      </c>
      <c r="H1936">
        <f t="shared" si="30"/>
        <v>0</v>
      </c>
      <c r="L1936" t="s">
        <v>5</v>
      </c>
    </row>
    <row r="1937" spans="1:24" x14ac:dyDescent="0.25">
      <c r="A1937" t="s">
        <v>5251</v>
      </c>
      <c r="C1937" t="s">
        <v>3217</v>
      </c>
      <c r="D1937">
        <v>1</v>
      </c>
      <c r="E1937" t="s">
        <v>3218</v>
      </c>
      <c r="H1937" t="str">
        <f t="shared" si="30"/>
        <v>time in milliseconds beyond which a model overlay is fully red in r_drawmodelstatsoverlay 2</v>
      </c>
      <c r="I1937" t="s">
        <v>2</v>
      </c>
    </row>
    <row r="1938" spans="1:24" x14ac:dyDescent="0.25">
      <c r="A1938" t="s">
        <v>5251</v>
      </c>
      <c r="C1938" t="s">
        <v>3219</v>
      </c>
      <c r="D1938">
        <v>0</v>
      </c>
      <c r="E1938" t="s">
        <v>3220</v>
      </c>
      <c r="H1938" t="str">
        <f t="shared" si="30"/>
        <v>time in milliseconds that a model must take to render before showing an overlay in r_drawmodelstatsoverlay 2</v>
      </c>
      <c r="I1938" t="s">
        <v>2</v>
      </c>
    </row>
    <row r="1939" spans="1:24" x14ac:dyDescent="0.25">
      <c r="A1939" t="s">
        <v>5251</v>
      </c>
      <c r="C1939" t="s">
        <v>3221</v>
      </c>
      <c r="D1939">
        <v>1</v>
      </c>
      <c r="H1939">
        <f t="shared" si="30"/>
        <v>0</v>
      </c>
      <c r="L1939" t="s">
        <v>5</v>
      </c>
      <c r="X1939" t="s">
        <v>17</v>
      </c>
    </row>
    <row r="1940" spans="1:24" x14ac:dyDescent="0.25">
      <c r="A1940" t="s">
        <v>5251</v>
      </c>
      <c r="C1940" t="s">
        <v>3222</v>
      </c>
      <c r="D1940">
        <v>0</v>
      </c>
      <c r="H1940">
        <f t="shared" si="30"/>
        <v>0</v>
      </c>
      <c r="L1940" t="s">
        <v>5</v>
      </c>
      <c r="X1940" t="s">
        <v>17</v>
      </c>
    </row>
    <row r="1941" spans="1:24" x14ac:dyDescent="0.25">
      <c r="A1941" t="s">
        <v>5251</v>
      </c>
      <c r="C1941" t="s">
        <v>3223</v>
      </c>
      <c r="D1941">
        <v>0</v>
      </c>
      <c r="H1941">
        <f t="shared" si="30"/>
        <v>0</v>
      </c>
      <c r="L1941" t="s">
        <v>5</v>
      </c>
      <c r="X1941" t="s">
        <v>17</v>
      </c>
    </row>
    <row r="1942" spans="1:24" x14ac:dyDescent="0.25">
      <c r="A1942" t="s">
        <v>5251</v>
      </c>
      <c r="C1942" t="s">
        <v>3224</v>
      </c>
      <c r="D1942">
        <v>0</v>
      </c>
      <c r="H1942">
        <f t="shared" si="30"/>
        <v>0</v>
      </c>
      <c r="L1942" t="s">
        <v>5</v>
      </c>
      <c r="X1942" t="s">
        <v>17</v>
      </c>
    </row>
    <row r="1943" spans="1:24" x14ac:dyDescent="0.25">
      <c r="A1943" t="s">
        <v>5251</v>
      </c>
      <c r="C1943" t="s">
        <v>3225</v>
      </c>
      <c r="D1943">
        <v>1</v>
      </c>
      <c r="H1943">
        <f t="shared" si="30"/>
        <v>0</v>
      </c>
      <c r="L1943" t="s">
        <v>5</v>
      </c>
      <c r="X1943" t="s">
        <v>17</v>
      </c>
    </row>
    <row r="1944" spans="1:24" x14ac:dyDescent="0.25">
      <c r="A1944" t="s">
        <v>5251</v>
      </c>
      <c r="C1944" t="s">
        <v>3226</v>
      </c>
      <c r="D1944">
        <v>1</v>
      </c>
      <c r="H1944">
        <f t="shared" si="30"/>
        <v>0</v>
      </c>
      <c r="L1944" t="s">
        <v>5</v>
      </c>
      <c r="X1944" t="s">
        <v>17</v>
      </c>
    </row>
    <row r="1945" spans="1:24" x14ac:dyDescent="0.25">
      <c r="A1945" t="s">
        <v>5251</v>
      </c>
      <c r="C1945" t="s">
        <v>3227</v>
      </c>
      <c r="D1945">
        <v>1</v>
      </c>
      <c r="E1945" t="s">
        <v>3195</v>
      </c>
      <c r="H1945" t="str">
        <f t="shared" si="30"/>
        <v>0=Off, 1=Normal, 2=Wireframe</v>
      </c>
      <c r="L1945" t="s">
        <v>5</v>
      </c>
      <c r="X1945" t="s">
        <v>17</v>
      </c>
    </row>
    <row r="1946" spans="1:24" x14ac:dyDescent="0.25">
      <c r="A1946" t="s">
        <v>5251</v>
      </c>
      <c r="C1946" t="s">
        <v>3228</v>
      </c>
      <c r="D1946">
        <v>1</v>
      </c>
      <c r="E1946" t="s">
        <v>3229</v>
      </c>
      <c r="H1946" t="str">
        <f t="shared" si="30"/>
        <v>Enable/disable particle rendering</v>
      </c>
      <c r="L1946" t="s">
        <v>5</v>
      </c>
      <c r="X1946" t="s">
        <v>17</v>
      </c>
    </row>
    <row r="1947" spans="1:24" x14ac:dyDescent="0.25">
      <c r="A1947" t="s">
        <v>5251</v>
      </c>
      <c r="C1947" t="s">
        <v>3230</v>
      </c>
      <c r="D1947">
        <v>1</v>
      </c>
      <c r="H1947">
        <f t="shared" si="30"/>
        <v>0</v>
      </c>
      <c r="L1947" t="s">
        <v>5</v>
      </c>
      <c r="X1947" t="s">
        <v>17</v>
      </c>
    </row>
    <row r="1948" spans="1:24" x14ac:dyDescent="0.25">
      <c r="A1948" t="s">
        <v>5251</v>
      </c>
      <c r="C1948" t="s">
        <v>3231</v>
      </c>
      <c r="D1948">
        <v>0</v>
      </c>
      <c r="H1948">
        <f t="shared" si="30"/>
        <v>0</v>
      </c>
      <c r="L1948" t="s">
        <v>5</v>
      </c>
    </row>
    <row r="1949" spans="1:24" x14ac:dyDescent="0.25">
      <c r="A1949" t="s">
        <v>5251</v>
      </c>
      <c r="C1949" t="s">
        <v>3232</v>
      </c>
      <c r="D1949">
        <v>1</v>
      </c>
      <c r="E1949" t="s">
        <v>3233</v>
      </c>
      <c r="H1949" t="str">
        <f t="shared" si="30"/>
        <v>Enable/disable rain rendering.</v>
      </c>
      <c r="L1949" t="s">
        <v>5</v>
      </c>
      <c r="X1949" t="s">
        <v>17</v>
      </c>
    </row>
    <row r="1950" spans="1:24" x14ac:dyDescent="0.25">
      <c r="A1950" t="s">
        <v>5251</v>
      </c>
      <c r="C1950" t="s">
        <v>3234</v>
      </c>
      <c r="D1950">
        <v>0</v>
      </c>
      <c r="E1950" t="s">
        <v>3235</v>
      </c>
      <c r="H1950" t="str">
        <f t="shared" si="30"/>
        <v>(0 - off) (1 - Draws the bounding box of entities) (2 - Draws the axis aligned bounding box used for culling) (3 - draws both b</v>
      </c>
      <c r="L1950" t="s">
        <v>5</v>
      </c>
      <c r="X1950" t="s">
        <v>17</v>
      </c>
    </row>
    <row r="1951" spans="1:24" x14ac:dyDescent="0.25">
      <c r="A1951" t="s">
        <v>5251</v>
      </c>
      <c r="C1951" t="s">
        <v>3236</v>
      </c>
      <c r="D1951">
        <v>1</v>
      </c>
      <c r="H1951">
        <f t="shared" si="30"/>
        <v>0</v>
      </c>
      <c r="L1951" t="s">
        <v>5</v>
      </c>
      <c r="X1951" t="s">
        <v>17</v>
      </c>
    </row>
    <row r="1952" spans="1:24" x14ac:dyDescent="0.25">
      <c r="A1952" t="s">
        <v>5251</v>
      </c>
      <c r="C1952" t="s">
        <v>3237</v>
      </c>
      <c r="D1952">
        <v>1</v>
      </c>
      <c r="H1952">
        <f t="shared" si="30"/>
        <v>0</v>
      </c>
      <c r="L1952" t="s">
        <v>5</v>
      </c>
      <c r="V1952" t="s">
        <v>15</v>
      </c>
      <c r="X1952" t="s">
        <v>17</v>
      </c>
    </row>
    <row r="1953" spans="1:24" x14ac:dyDescent="0.25">
      <c r="A1953" t="s">
        <v>5251</v>
      </c>
      <c r="C1953" t="s">
        <v>3238</v>
      </c>
      <c r="D1953">
        <v>1</v>
      </c>
      <c r="H1953">
        <f t="shared" si="30"/>
        <v>0</v>
      </c>
      <c r="L1953" t="s">
        <v>5</v>
      </c>
      <c r="X1953" t="s">
        <v>17</v>
      </c>
    </row>
    <row r="1954" spans="1:24" x14ac:dyDescent="0.25">
      <c r="A1954" t="s">
        <v>5251</v>
      </c>
      <c r="C1954" t="s">
        <v>3239</v>
      </c>
      <c r="D1954">
        <v>0</v>
      </c>
      <c r="H1954">
        <f t="shared" si="30"/>
        <v>0</v>
      </c>
      <c r="L1954" t="s">
        <v>5</v>
      </c>
      <c r="X1954" t="s">
        <v>17</v>
      </c>
    </row>
    <row r="1955" spans="1:24" x14ac:dyDescent="0.25">
      <c r="A1955" t="s">
        <v>5251</v>
      </c>
      <c r="C1955" t="s">
        <v>3240</v>
      </c>
      <c r="D1955">
        <v>1</v>
      </c>
      <c r="H1955">
        <f t="shared" si="30"/>
        <v>0</v>
      </c>
      <c r="L1955" t="s">
        <v>5</v>
      </c>
    </row>
    <row r="1956" spans="1:24" x14ac:dyDescent="0.25">
      <c r="A1956" t="s">
        <v>5251</v>
      </c>
      <c r="C1956" t="s">
        <v>3241</v>
      </c>
      <c r="D1956">
        <v>1</v>
      </c>
      <c r="H1956">
        <f t="shared" si="30"/>
        <v>0</v>
      </c>
      <c r="L1956" t="s">
        <v>5</v>
      </c>
      <c r="X1956" t="s">
        <v>17</v>
      </c>
    </row>
    <row r="1957" spans="1:24" x14ac:dyDescent="0.25">
      <c r="A1957" t="s">
        <v>5251</v>
      </c>
      <c r="C1957" t="s">
        <v>3242</v>
      </c>
      <c r="D1957">
        <v>1</v>
      </c>
      <c r="E1957" t="s">
        <v>3195</v>
      </c>
      <c r="H1957" t="str">
        <f t="shared" si="30"/>
        <v>0=Off, 1=Normal, 2=Wireframe</v>
      </c>
      <c r="L1957" t="s">
        <v>5</v>
      </c>
    </row>
    <row r="1958" spans="1:24" x14ac:dyDescent="0.25">
      <c r="A1958" t="s">
        <v>5251</v>
      </c>
      <c r="C1958" t="s">
        <v>3243</v>
      </c>
      <c r="D1958">
        <v>1</v>
      </c>
      <c r="H1958">
        <f t="shared" si="30"/>
        <v>0</v>
      </c>
      <c r="L1958" t="s">
        <v>5</v>
      </c>
      <c r="X1958" t="s">
        <v>17</v>
      </c>
    </row>
    <row r="1959" spans="1:24" x14ac:dyDescent="0.25">
      <c r="A1959" t="s">
        <v>5251</v>
      </c>
      <c r="C1959" t="s">
        <v>3244</v>
      </c>
      <c r="D1959">
        <v>1</v>
      </c>
      <c r="E1959" t="s">
        <v>3245</v>
      </c>
      <c r="H1959" t="str">
        <f t="shared" si="30"/>
        <v>Toggle visibility of first person weapon tracers</v>
      </c>
      <c r="I1959" t="s">
        <v>2</v>
      </c>
      <c r="X1959" t="s">
        <v>17</v>
      </c>
    </row>
    <row r="1960" spans="1:24" x14ac:dyDescent="0.25">
      <c r="A1960" t="s">
        <v>5251</v>
      </c>
      <c r="C1960" t="s">
        <v>3246</v>
      </c>
      <c r="D1960">
        <v>1</v>
      </c>
      <c r="H1960">
        <f t="shared" si="30"/>
        <v>0</v>
      </c>
      <c r="L1960" t="s">
        <v>5</v>
      </c>
      <c r="X1960" t="s">
        <v>17</v>
      </c>
    </row>
    <row r="1961" spans="1:24" x14ac:dyDescent="0.25">
      <c r="A1961" t="s">
        <v>5251</v>
      </c>
      <c r="C1961" t="s">
        <v>3247</v>
      </c>
      <c r="D1961">
        <v>1</v>
      </c>
      <c r="H1961">
        <f t="shared" si="30"/>
        <v>0</v>
      </c>
      <c r="L1961" t="s">
        <v>5</v>
      </c>
      <c r="X1961" t="s">
        <v>17</v>
      </c>
    </row>
    <row r="1962" spans="1:24" x14ac:dyDescent="0.25">
      <c r="A1962" t="s">
        <v>5251</v>
      </c>
      <c r="C1962" t="s">
        <v>3248</v>
      </c>
      <c r="D1962">
        <v>1</v>
      </c>
      <c r="H1962">
        <f t="shared" si="30"/>
        <v>0</v>
      </c>
      <c r="L1962" t="s">
        <v>5</v>
      </c>
    </row>
    <row r="1963" spans="1:24" x14ac:dyDescent="0.25">
      <c r="A1963" t="s">
        <v>5251</v>
      </c>
      <c r="C1963" t="s">
        <v>3249</v>
      </c>
      <c r="D1963">
        <v>1</v>
      </c>
      <c r="H1963">
        <f t="shared" si="30"/>
        <v>0</v>
      </c>
      <c r="L1963" t="s">
        <v>5</v>
      </c>
      <c r="V1963" t="s">
        <v>15</v>
      </c>
      <c r="X1963" t="s">
        <v>17</v>
      </c>
    </row>
    <row r="1964" spans="1:24" x14ac:dyDescent="0.25">
      <c r="A1964" t="s">
        <v>5251</v>
      </c>
      <c r="C1964" t="s">
        <v>3250</v>
      </c>
      <c r="D1964">
        <v>1</v>
      </c>
      <c r="H1964">
        <f t="shared" si="30"/>
        <v>0</v>
      </c>
      <c r="L1964" t="s">
        <v>5</v>
      </c>
      <c r="V1964" t="s">
        <v>15</v>
      </c>
      <c r="X1964" t="s">
        <v>17</v>
      </c>
    </row>
    <row r="1965" spans="1:24" x14ac:dyDescent="0.25">
      <c r="A1965" t="s">
        <v>5251</v>
      </c>
      <c r="C1965" t="s">
        <v>3251</v>
      </c>
      <c r="D1965">
        <v>1</v>
      </c>
      <c r="E1965" t="s">
        <v>3252</v>
      </c>
      <c r="H1965" t="str">
        <f t="shared" si="30"/>
        <v>Enable the rendering of vgui panels</v>
      </c>
      <c r="L1965" t="s">
        <v>5</v>
      </c>
    </row>
    <row r="1966" spans="1:24" x14ac:dyDescent="0.25">
      <c r="A1966" t="s">
        <v>5251</v>
      </c>
      <c r="C1966" t="s">
        <v>3253</v>
      </c>
      <c r="D1966">
        <v>1</v>
      </c>
      <c r="H1966">
        <f t="shared" si="30"/>
        <v>0</v>
      </c>
      <c r="L1966" t="s">
        <v>5</v>
      </c>
      <c r="X1966" t="s">
        <v>17</v>
      </c>
    </row>
    <row r="1967" spans="1:24" x14ac:dyDescent="0.25">
      <c r="A1967" t="s">
        <v>5251</v>
      </c>
      <c r="C1967" t="s">
        <v>3254</v>
      </c>
      <c r="D1967">
        <v>1</v>
      </c>
      <c r="E1967" t="s">
        <v>3255</v>
      </c>
      <c r="H1967" t="str">
        <f t="shared" si="30"/>
        <v>Render the world.</v>
      </c>
      <c r="L1967" t="s">
        <v>5</v>
      </c>
    </row>
    <row r="1968" spans="1:24" x14ac:dyDescent="0.25">
      <c r="A1968" t="s">
        <v>5251</v>
      </c>
      <c r="C1968" t="s">
        <v>3256</v>
      </c>
      <c r="D1968">
        <v>90</v>
      </c>
      <c r="H1968">
        <f t="shared" si="30"/>
        <v>0</v>
      </c>
      <c r="L1968" t="s">
        <v>5</v>
      </c>
    </row>
    <row r="1969" spans="1:24" x14ac:dyDescent="0.25">
      <c r="A1969" t="s">
        <v>5251</v>
      </c>
      <c r="C1969" t="s">
        <v>3257</v>
      </c>
      <c r="D1969">
        <v>2000</v>
      </c>
      <c r="H1969">
        <f t="shared" si="30"/>
        <v>0</v>
      </c>
      <c r="L1969" t="s">
        <v>5</v>
      </c>
    </row>
    <row r="1970" spans="1:24" x14ac:dyDescent="0.25">
      <c r="A1970" t="s">
        <v>5251</v>
      </c>
      <c r="C1970" t="s">
        <v>3258</v>
      </c>
      <c r="D1970">
        <v>4</v>
      </c>
      <c r="H1970">
        <f t="shared" si="30"/>
        <v>0</v>
      </c>
      <c r="L1970" t="s">
        <v>5</v>
      </c>
    </row>
    <row r="1971" spans="1:24" x14ac:dyDescent="0.25">
      <c r="A1971" t="s">
        <v>5251</v>
      </c>
      <c r="C1971" t="s">
        <v>3259</v>
      </c>
      <c r="D1971">
        <v>100</v>
      </c>
      <c r="H1971">
        <f t="shared" si="30"/>
        <v>0</v>
      </c>
      <c r="L1971" t="s">
        <v>5</v>
      </c>
    </row>
    <row r="1972" spans="1:24" x14ac:dyDescent="0.25">
      <c r="A1972" t="s">
        <v>5251</v>
      </c>
      <c r="C1972" t="s">
        <v>3260</v>
      </c>
      <c r="D1972">
        <v>1</v>
      </c>
      <c r="H1972">
        <f t="shared" si="30"/>
        <v>0</v>
      </c>
      <c r="L1972" t="s">
        <v>5</v>
      </c>
    </row>
    <row r="1973" spans="1:24" x14ac:dyDescent="0.25">
      <c r="A1973" t="s">
        <v>5251</v>
      </c>
      <c r="C1973" t="s">
        <v>3261</v>
      </c>
      <c r="D1973">
        <v>1</v>
      </c>
      <c r="H1973">
        <f t="shared" si="30"/>
        <v>0</v>
      </c>
    </row>
    <row r="1974" spans="1:24" x14ac:dyDescent="0.25">
      <c r="A1974" t="s">
        <v>5251</v>
      </c>
      <c r="C1974" t="s">
        <v>3262</v>
      </c>
      <c r="D1974">
        <v>1</v>
      </c>
      <c r="H1974">
        <f t="shared" si="30"/>
        <v>0</v>
      </c>
      <c r="L1974" t="s">
        <v>5</v>
      </c>
    </row>
    <row r="1975" spans="1:24" x14ac:dyDescent="0.25">
      <c r="A1975" t="s">
        <v>5251</v>
      </c>
      <c r="C1975" t="s">
        <v>3263</v>
      </c>
      <c r="D1975">
        <v>1</v>
      </c>
      <c r="H1975">
        <f t="shared" si="30"/>
        <v>0</v>
      </c>
      <c r="I1975" t="s">
        <v>2</v>
      </c>
      <c r="X1975" t="s">
        <v>17</v>
      </c>
    </row>
    <row r="1976" spans="1:24" x14ac:dyDescent="0.25">
      <c r="A1976" t="s">
        <v>5251</v>
      </c>
      <c r="C1976" t="s">
        <v>3264</v>
      </c>
      <c r="D1976">
        <v>1</v>
      </c>
      <c r="H1976">
        <f t="shared" si="30"/>
        <v>0</v>
      </c>
      <c r="I1976" t="s">
        <v>2</v>
      </c>
    </row>
    <row r="1977" spans="1:24" x14ac:dyDescent="0.25">
      <c r="A1977" t="s">
        <v>5251</v>
      </c>
      <c r="C1977" t="s">
        <v>3265</v>
      </c>
      <c r="D1977">
        <v>0</v>
      </c>
      <c r="H1977">
        <f t="shared" si="30"/>
        <v>0</v>
      </c>
      <c r="I1977" t="s">
        <v>2</v>
      </c>
    </row>
    <row r="1978" spans="1:24" x14ac:dyDescent="0.25">
      <c r="A1978" t="s">
        <v>5251</v>
      </c>
      <c r="C1978" t="s">
        <v>3266</v>
      </c>
      <c r="D1978">
        <v>0</v>
      </c>
      <c r="H1978">
        <f t="shared" si="30"/>
        <v>0</v>
      </c>
      <c r="I1978" t="s">
        <v>2</v>
      </c>
    </row>
    <row r="1979" spans="1:24" x14ac:dyDescent="0.25">
      <c r="A1979" t="s">
        <v>5251</v>
      </c>
      <c r="C1979" t="s">
        <v>3267</v>
      </c>
      <c r="D1979">
        <v>0</v>
      </c>
      <c r="H1979">
        <f t="shared" si="30"/>
        <v>0</v>
      </c>
      <c r="I1979" t="s">
        <v>2</v>
      </c>
    </row>
    <row r="1980" spans="1:24" x14ac:dyDescent="0.25">
      <c r="A1980" t="s">
        <v>5251</v>
      </c>
      <c r="C1980" t="s">
        <v>3268</v>
      </c>
      <c r="D1980">
        <v>0</v>
      </c>
      <c r="H1980">
        <f t="shared" si="30"/>
        <v>0</v>
      </c>
      <c r="I1980" t="s">
        <v>2</v>
      </c>
    </row>
    <row r="1981" spans="1:24" x14ac:dyDescent="0.25">
      <c r="A1981" t="s">
        <v>5251</v>
      </c>
      <c r="C1981" t="s">
        <v>3269</v>
      </c>
      <c r="D1981">
        <v>7</v>
      </c>
      <c r="H1981">
        <f t="shared" si="30"/>
        <v>0</v>
      </c>
      <c r="L1981" t="s">
        <v>5</v>
      </c>
      <c r="X1981" t="s">
        <v>17</v>
      </c>
    </row>
    <row r="1982" spans="1:24" x14ac:dyDescent="0.25">
      <c r="A1982" t="s">
        <v>5251</v>
      </c>
      <c r="C1982" t="s">
        <v>3270</v>
      </c>
      <c r="D1982">
        <v>-1</v>
      </c>
      <c r="E1982" t="s">
        <v>3271</v>
      </c>
      <c r="H1982" t="str">
        <f t="shared" si="30"/>
        <v>Override the far clipping plane. -1 means to use the value in env_fog_controller.</v>
      </c>
      <c r="L1982" t="s">
        <v>5</v>
      </c>
      <c r="X1982" t="s">
        <v>17</v>
      </c>
    </row>
    <row r="1983" spans="1:24" x14ac:dyDescent="0.25">
      <c r="A1983" t="s">
        <v>5251</v>
      </c>
      <c r="C1983" t="s">
        <v>3272</v>
      </c>
      <c r="D1983">
        <v>0</v>
      </c>
      <c r="H1983">
        <f t="shared" si="30"/>
        <v>0</v>
      </c>
      <c r="L1983" t="s">
        <v>5</v>
      </c>
      <c r="X1983" t="s">
        <v>17</v>
      </c>
    </row>
    <row r="1984" spans="1:24" x14ac:dyDescent="0.25">
      <c r="A1984" t="s">
        <v>5251</v>
      </c>
      <c r="C1984" t="s">
        <v>3273</v>
      </c>
      <c r="D1984">
        <v>0</v>
      </c>
      <c r="H1984">
        <f t="shared" si="30"/>
        <v>0</v>
      </c>
      <c r="L1984" t="s">
        <v>5</v>
      </c>
      <c r="X1984" t="s">
        <v>17</v>
      </c>
    </row>
    <row r="1985" spans="1:24" x14ac:dyDescent="0.25">
      <c r="A1985" t="s">
        <v>5251</v>
      </c>
      <c r="C1985" t="s">
        <v>3274</v>
      </c>
      <c r="D1985">
        <v>0</v>
      </c>
      <c r="H1985">
        <f t="shared" si="30"/>
        <v>0</v>
      </c>
      <c r="L1985" t="s">
        <v>5</v>
      </c>
    </row>
    <row r="1986" spans="1:24" x14ac:dyDescent="0.25">
      <c r="A1986" t="s">
        <v>5251</v>
      </c>
      <c r="C1986" t="s">
        <v>3275</v>
      </c>
      <c r="D1986">
        <v>0</v>
      </c>
      <c r="H1986">
        <f t="shared" si="30"/>
        <v>0</v>
      </c>
      <c r="L1986" t="s">
        <v>5</v>
      </c>
    </row>
    <row r="1987" spans="1:24" x14ac:dyDescent="0.25">
      <c r="A1987" t="s">
        <v>5251</v>
      </c>
      <c r="C1987" t="s">
        <v>3276</v>
      </c>
      <c r="D1987">
        <v>0</v>
      </c>
      <c r="H1987">
        <f t="shared" ref="H1987:H2050" si="31">IF(F1987="",E1987, F1987 &amp; " - Original Helptext: " &amp;E1987)</f>
        <v>0</v>
      </c>
      <c r="L1987" t="s">
        <v>5</v>
      </c>
      <c r="X1987" t="s">
        <v>17</v>
      </c>
    </row>
    <row r="1988" spans="1:24" x14ac:dyDescent="0.25">
      <c r="A1988" t="s">
        <v>5251</v>
      </c>
      <c r="C1988" t="s">
        <v>3277</v>
      </c>
      <c r="D1988">
        <v>0</v>
      </c>
      <c r="H1988">
        <f t="shared" si="31"/>
        <v>0</v>
      </c>
      <c r="L1988" t="s">
        <v>5</v>
      </c>
    </row>
    <row r="1989" spans="1:24" x14ac:dyDescent="0.25">
      <c r="A1989" t="s">
        <v>5251</v>
      </c>
      <c r="C1989" t="s">
        <v>3278</v>
      </c>
      <c r="D1989">
        <v>750</v>
      </c>
      <c r="H1989">
        <f t="shared" si="31"/>
        <v>0</v>
      </c>
      <c r="L1989" t="s">
        <v>5</v>
      </c>
      <c r="X1989" t="s">
        <v>17</v>
      </c>
    </row>
    <row r="1990" spans="1:24" x14ac:dyDescent="0.25">
      <c r="A1990" t="s">
        <v>5251</v>
      </c>
      <c r="C1990" t="s">
        <v>3279</v>
      </c>
      <c r="D1990">
        <v>53</v>
      </c>
      <c r="H1990">
        <f t="shared" si="31"/>
        <v>0</v>
      </c>
      <c r="L1990" t="s">
        <v>5</v>
      </c>
      <c r="X1990" t="s">
        <v>17</v>
      </c>
    </row>
    <row r="1991" spans="1:24" x14ac:dyDescent="0.25">
      <c r="A1991" t="s">
        <v>5251</v>
      </c>
      <c r="C1991" t="s">
        <v>3280</v>
      </c>
      <c r="D1991">
        <v>40</v>
      </c>
      <c r="H1991">
        <f t="shared" si="31"/>
        <v>0</v>
      </c>
      <c r="L1991" t="s">
        <v>5</v>
      </c>
      <c r="X1991" t="s">
        <v>17</v>
      </c>
    </row>
    <row r="1992" spans="1:24" x14ac:dyDescent="0.25">
      <c r="A1992" t="s">
        <v>5251</v>
      </c>
      <c r="C1992" t="s">
        <v>3281</v>
      </c>
      <c r="D1992">
        <v>100</v>
      </c>
      <c r="H1992">
        <f t="shared" si="31"/>
        <v>0</v>
      </c>
      <c r="L1992" t="s">
        <v>5</v>
      </c>
      <c r="X1992" t="s">
        <v>17</v>
      </c>
    </row>
    <row r="1993" spans="1:24" x14ac:dyDescent="0.25">
      <c r="A1993" t="s">
        <v>5251</v>
      </c>
      <c r="C1993" t="s">
        <v>3282</v>
      </c>
      <c r="D1993">
        <v>0</v>
      </c>
      <c r="H1993">
        <f t="shared" si="31"/>
        <v>0</v>
      </c>
      <c r="L1993" t="s">
        <v>5</v>
      </c>
      <c r="X1993" t="s">
        <v>17</v>
      </c>
    </row>
    <row r="1994" spans="1:24" x14ac:dyDescent="0.25">
      <c r="A1994" t="s">
        <v>5251</v>
      </c>
      <c r="C1994" t="s">
        <v>3283</v>
      </c>
      <c r="D1994">
        <v>120</v>
      </c>
      <c r="H1994">
        <f t="shared" si="31"/>
        <v>0</v>
      </c>
      <c r="L1994" t="s">
        <v>5</v>
      </c>
      <c r="X1994" t="s">
        <v>17</v>
      </c>
    </row>
    <row r="1995" spans="1:24" x14ac:dyDescent="0.25">
      <c r="A1995" t="s">
        <v>5251</v>
      </c>
      <c r="C1995" t="s">
        <v>3284</v>
      </c>
      <c r="D1995">
        <v>4</v>
      </c>
      <c r="H1995">
        <f t="shared" si="31"/>
        <v>0</v>
      </c>
      <c r="L1995" t="s">
        <v>5</v>
      </c>
      <c r="X1995" t="s">
        <v>17</v>
      </c>
    </row>
    <row r="1996" spans="1:24" x14ac:dyDescent="0.25">
      <c r="A1996" t="s">
        <v>5251</v>
      </c>
      <c r="C1996" t="s">
        <v>3285</v>
      </c>
      <c r="D1996">
        <v>1</v>
      </c>
      <c r="H1996">
        <f t="shared" si="31"/>
        <v>0</v>
      </c>
      <c r="L1996" t="s">
        <v>5</v>
      </c>
      <c r="X1996" t="s">
        <v>17</v>
      </c>
    </row>
    <row r="1997" spans="1:24" x14ac:dyDescent="0.25">
      <c r="A1997" t="s">
        <v>5251</v>
      </c>
      <c r="C1997" t="s">
        <v>3286</v>
      </c>
      <c r="D1997">
        <v>0</v>
      </c>
      <c r="H1997">
        <f t="shared" si="31"/>
        <v>0</v>
      </c>
      <c r="L1997" t="s">
        <v>5</v>
      </c>
      <c r="X1997" t="s">
        <v>17</v>
      </c>
    </row>
    <row r="1998" spans="1:24" x14ac:dyDescent="0.25">
      <c r="A1998" t="s">
        <v>5251</v>
      </c>
      <c r="C1998" t="s">
        <v>3287</v>
      </c>
      <c r="D1998">
        <v>5</v>
      </c>
      <c r="H1998">
        <f t="shared" si="31"/>
        <v>0</v>
      </c>
      <c r="L1998" t="s">
        <v>5</v>
      </c>
      <c r="X1998" t="s">
        <v>17</v>
      </c>
    </row>
    <row r="1999" spans="1:24" x14ac:dyDescent="0.25">
      <c r="A1999" t="s">
        <v>5251</v>
      </c>
      <c r="C1999" t="s">
        <v>3288</v>
      </c>
      <c r="D1999">
        <v>-5</v>
      </c>
      <c r="H1999">
        <f t="shared" si="31"/>
        <v>0</v>
      </c>
      <c r="L1999" t="s">
        <v>5</v>
      </c>
      <c r="X1999" t="s">
        <v>17</v>
      </c>
    </row>
    <row r="2000" spans="1:24" x14ac:dyDescent="0.25">
      <c r="A2000" t="s">
        <v>5251</v>
      </c>
      <c r="C2000" t="s">
        <v>3289</v>
      </c>
      <c r="D2000">
        <v>0</v>
      </c>
      <c r="H2000">
        <f t="shared" si="31"/>
        <v>0</v>
      </c>
      <c r="L2000" t="s">
        <v>5</v>
      </c>
      <c r="X2000" t="s">
        <v>17</v>
      </c>
    </row>
    <row r="2001" spans="1:24" x14ac:dyDescent="0.25">
      <c r="A2001" t="s">
        <v>5251</v>
      </c>
      <c r="C2001" t="s">
        <v>3290</v>
      </c>
      <c r="D2001">
        <v>0</v>
      </c>
      <c r="H2001">
        <f t="shared" si="31"/>
        <v>0</v>
      </c>
      <c r="L2001" t="s">
        <v>5</v>
      </c>
      <c r="X2001" t="s">
        <v>17</v>
      </c>
    </row>
    <row r="2002" spans="1:24" x14ac:dyDescent="0.25">
      <c r="A2002" t="s">
        <v>5251</v>
      </c>
      <c r="C2002" t="s">
        <v>3291</v>
      </c>
      <c r="D2002">
        <v>0</v>
      </c>
      <c r="H2002">
        <f t="shared" si="31"/>
        <v>0</v>
      </c>
      <c r="L2002" t="s">
        <v>5</v>
      </c>
      <c r="X2002" t="s">
        <v>17</v>
      </c>
    </row>
    <row r="2003" spans="1:24" x14ac:dyDescent="0.25">
      <c r="A2003" t="s">
        <v>5251</v>
      </c>
      <c r="C2003" t="s">
        <v>3292</v>
      </c>
      <c r="D2003" t="s">
        <v>25</v>
      </c>
      <c r="E2003" t="s">
        <v>3293</v>
      </c>
      <c r="H2003" t="str">
        <f t="shared" si="31"/>
        <v>Flush and reload LODs.</v>
      </c>
    </row>
    <row r="2004" spans="1:24" x14ac:dyDescent="0.25">
      <c r="A2004" t="s">
        <v>5251</v>
      </c>
      <c r="C2004" t="s">
        <v>3294</v>
      </c>
      <c r="D2004">
        <v>0</v>
      </c>
      <c r="H2004">
        <f t="shared" si="31"/>
        <v>0</v>
      </c>
      <c r="L2004" t="s">
        <v>5</v>
      </c>
    </row>
    <row r="2005" spans="1:24" x14ac:dyDescent="0.25">
      <c r="A2005" t="s">
        <v>5251</v>
      </c>
      <c r="C2005" t="s">
        <v>3295</v>
      </c>
      <c r="D2005">
        <v>0</v>
      </c>
      <c r="H2005">
        <f t="shared" si="31"/>
        <v>0</v>
      </c>
      <c r="L2005" t="s">
        <v>5</v>
      </c>
    </row>
    <row r="2006" spans="1:24" x14ac:dyDescent="0.25">
      <c r="A2006" t="s">
        <v>5251</v>
      </c>
      <c r="C2006" t="s">
        <v>3296</v>
      </c>
      <c r="D2006">
        <v>4</v>
      </c>
      <c r="H2006">
        <f t="shared" si="31"/>
        <v>0</v>
      </c>
      <c r="L2006" t="s">
        <v>5</v>
      </c>
    </row>
    <row r="2007" spans="1:24" x14ac:dyDescent="0.25">
      <c r="A2007" t="s">
        <v>5251</v>
      </c>
      <c r="C2007" t="s">
        <v>3297</v>
      </c>
      <c r="D2007">
        <v>90</v>
      </c>
      <c r="H2007">
        <f t="shared" si="31"/>
        <v>0</v>
      </c>
      <c r="K2007" t="s">
        <v>4</v>
      </c>
      <c r="L2007" t="s">
        <v>5</v>
      </c>
      <c r="S2007" t="s">
        <v>12</v>
      </c>
    </row>
    <row r="2008" spans="1:24" x14ac:dyDescent="0.25">
      <c r="A2008" t="s">
        <v>5251</v>
      </c>
      <c r="C2008" t="s">
        <v>3298</v>
      </c>
      <c r="D2008">
        <v>1</v>
      </c>
      <c r="H2008">
        <f t="shared" si="31"/>
        <v>0</v>
      </c>
      <c r="L2008" t="s">
        <v>5</v>
      </c>
      <c r="X2008" t="s">
        <v>17</v>
      </c>
    </row>
    <row r="2009" spans="1:24" x14ac:dyDescent="0.25">
      <c r="A2009" t="s">
        <v>5251</v>
      </c>
      <c r="C2009" t="s">
        <v>3299</v>
      </c>
      <c r="D2009">
        <v>0</v>
      </c>
      <c r="H2009">
        <f t="shared" si="31"/>
        <v>0</v>
      </c>
      <c r="L2009" t="s">
        <v>5</v>
      </c>
      <c r="X2009" t="s">
        <v>17</v>
      </c>
    </row>
    <row r="2010" spans="1:24" x14ac:dyDescent="0.25">
      <c r="A2010" t="s">
        <v>5251</v>
      </c>
      <c r="C2010" t="s">
        <v>3300</v>
      </c>
      <c r="D2010">
        <v>1</v>
      </c>
      <c r="H2010">
        <f t="shared" si="31"/>
        <v>0</v>
      </c>
      <c r="L2010" t="s">
        <v>5</v>
      </c>
      <c r="X2010" t="s">
        <v>17</v>
      </c>
    </row>
    <row r="2011" spans="1:24" x14ac:dyDescent="0.25">
      <c r="A2011" t="s">
        <v>5251</v>
      </c>
      <c r="C2011" t="s">
        <v>3301</v>
      </c>
      <c r="D2011">
        <v>1</v>
      </c>
      <c r="H2011">
        <f t="shared" si="31"/>
        <v>0</v>
      </c>
      <c r="L2011" t="s">
        <v>5</v>
      </c>
      <c r="N2011" t="s">
        <v>7</v>
      </c>
      <c r="S2011" t="s">
        <v>12</v>
      </c>
      <c r="X2011" t="s">
        <v>17</v>
      </c>
    </row>
    <row r="2012" spans="1:24" x14ac:dyDescent="0.25">
      <c r="A2012" t="s">
        <v>5251</v>
      </c>
      <c r="C2012" t="s">
        <v>3302</v>
      </c>
      <c r="D2012">
        <v>7</v>
      </c>
      <c r="H2012">
        <f t="shared" si="31"/>
        <v>0</v>
      </c>
      <c r="L2012" t="s">
        <v>5</v>
      </c>
      <c r="N2012" t="s">
        <v>7</v>
      </c>
      <c r="S2012" t="s">
        <v>12</v>
      </c>
      <c r="X2012" t="s">
        <v>17</v>
      </c>
    </row>
    <row r="2013" spans="1:24" x14ac:dyDescent="0.25">
      <c r="A2013" t="s">
        <v>5251</v>
      </c>
      <c r="C2013" t="s">
        <v>3303</v>
      </c>
      <c r="D2013">
        <v>10</v>
      </c>
      <c r="H2013">
        <f t="shared" si="31"/>
        <v>0</v>
      </c>
      <c r="L2013" t="s">
        <v>5</v>
      </c>
      <c r="N2013" t="s">
        <v>7</v>
      </c>
      <c r="S2013" t="s">
        <v>12</v>
      </c>
      <c r="X2013" t="s">
        <v>17</v>
      </c>
    </row>
    <row r="2014" spans="1:24" x14ac:dyDescent="0.25">
      <c r="A2014" t="s">
        <v>5251</v>
      </c>
      <c r="C2014" t="s">
        <v>3304</v>
      </c>
      <c r="D2014" t="s">
        <v>25</v>
      </c>
      <c r="H2014">
        <f t="shared" si="31"/>
        <v>0</v>
      </c>
    </row>
    <row r="2015" spans="1:24" x14ac:dyDescent="0.25">
      <c r="A2015" t="s">
        <v>5251</v>
      </c>
      <c r="C2015" t="s">
        <v>3305</v>
      </c>
      <c r="D2015">
        <v>162</v>
      </c>
      <c r="E2015" t="s">
        <v>3306</v>
      </c>
      <c r="H2015" t="str">
        <f t="shared" si="31"/>
        <v>number of random directions to fire rays when computing ambient lighting</v>
      </c>
      <c r="L2015" t="s">
        <v>5</v>
      </c>
    </row>
    <row r="2016" spans="1:24" x14ac:dyDescent="0.25">
      <c r="A2016" t="s">
        <v>5251</v>
      </c>
      <c r="C2016" t="s">
        <v>3307</v>
      </c>
      <c r="D2016">
        <v>1000</v>
      </c>
      <c r="E2016" t="s">
        <v>3308</v>
      </c>
      <c r="H2016" t="str">
        <f t="shared" si="31"/>
        <v>Allow lights to influence lightcaches beyond the lights' radii</v>
      </c>
      <c r="L2016" t="s">
        <v>5</v>
      </c>
    </row>
    <row r="2017" spans="1:24" x14ac:dyDescent="0.25">
      <c r="A2017" t="s">
        <v>5251</v>
      </c>
      <c r="C2017" t="s">
        <v>3309</v>
      </c>
      <c r="D2017">
        <v>1</v>
      </c>
      <c r="H2017">
        <f t="shared" si="31"/>
        <v>0</v>
      </c>
      <c r="L2017" t="s">
        <v>5</v>
      </c>
    </row>
    <row r="2018" spans="1:24" x14ac:dyDescent="0.25">
      <c r="A2018" t="s">
        <v>5251</v>
      </c>
      <c r="C2018" t="s">
        <v>3310</v>
      </c>
      <c r="D2018">
        <v>-1</v>
      </c>
      <c r="H2018">
        <f t="shared" si="31"/>
        <v>0</v>
      </c>
      <c r="L2018" t="s">
        <v>5</v>
      </c>
    </row>
    <row r="2019" spans="1:24" x14ac:dyDescent="0.25">
      <c r="A2019" t="s">
        <v>5251</v>
      </c>
      <c r="C2019" t="s">
        <v>3311</v>
      </c>
      <c r="D2019">
        <v>5</v>
      </c>
      <c r="E2019" t="s">
        <v>3312</v>
      </c>
      <c r="H2019" t="str">
        <f t="shared" si="31"/>
        <v>Controls the speed of light interpolation, 0 turns off interpolation</v>
      </c>
      <c r="L2019" t="s">
        <v>5</v>
      </c>
    </row>
    <row r="2020" spans="1:24" x14ac:dyDescent="0.25">
      <c r="A2020" t="s">
        <v>5251</v>
      </c>
      <c r="C2020" t="s">
        <v>3313</v>
      </c>
      <c r="D2020">
        <v>-1</v>
      </c>
      <c r="H2020">
        <f t="shared" si="31"/>
        <v>0</v>
      </c>
      <c r="L2020" t="s">
        <v>5</v>
      </c>
    </row>
    <row r="2021" spans="1:24" x14ac:dyDescent="0.25">
      <c r="A2021" t="s">
        <v>5251</v>
      </c>
      <c r="C2021" t="s">
        <v>3314</v>
      </c>
      <c r="D2021">
        <v>-1</v>
      </c>
      <c r="H2021">
        <f t="shared" si="31"/>
        <v>0</v>
      </c>
      <c r="L2021" t="s">
        <v>5</v>
      </c>
    </row>
    <row r="2022" spans="1:24" x14ac:dyDescent="0.25">
      <c r="A2022" t="s">
        <v>5251</v>
      </c>
      <c r="C2022" t="s">
        <v>3315</v>
      </c>
      <c r="D2022">
        <v>0</v>
      </c>
      <c r="H2022">
        <f t="shared" si="31"/>
        <v>0</v>
      </c>
      <c r="L2022" t="s">
        <v>5</v>
      </c>
    </row>
    <row r="2023" spans="1:24" x14ac:dyDescent="0.25">
      <c r="A2023" t="s">
        <v>5251</v>
      </c>
      <c r="C2023" t="s">
        <v>3316</v>
      </c>
      <c r="D2023">
        <v>0</v>
      </c>
      <c r="E2023" t="s">
        <v>3317</v>
      </c>
      <c r="H2023" t="str">
        <f t="shared" si="31"/>
        <v>Lock the PVS so you can fly around and inspect what is being drawn.</v>
      </c>
      <c r="L2023" t="s">
        <v>5</v>
      </c>
    </row>
    <row r="2024" spans="1:24" x14ac:dyDescent="0.25">
      <c r="A2024" t="s">
        <v>5251</v>
      </c>
      <c r="C2024" t="s">
        <v>3318</v>
      </c>
      <c r="D2024">
        <v>16384</v>
      </c>
      <c r="E2024" t="s">
        <v>3319</v>
      </c>
      <c r="H2024" t="str">
        <f t="shared" si="31"/>
        <v>Set the max dimension for the map.  This determines the far clipping plane</v>
      </c>
      <c r="L2024" t="s">
        <v>5</v>
      </c>
      <c r="X2024" t="s">
        <v>17</v>
      </c>
    </row>
    <row r="2025" spans="1:24" x14ac:dyDescent="0.25">
      <c r="A2025" t="s">
        <v>5251</v>
      </c>
      <c r="C2025" t="s">
        <v>3320</v>
      </c>
      <c r="D2025">
        <v>0</v>
      </c>
      <c r="E2025" t="s">
        <v>3321</v>
      </c>
      <c r="H2025" t="str">
        <f t="shared" si="31"/>
        <v>Minimum value for the ambient lighting on dynamic models with more than one bone (like players and their guns).</v>
      </c>
      <c r="L2025" t="s">
        <v>5</v>
      </c>
    </row>
    <row r="2026" spans="1:24" x14ac:dyDescent="0.25">
      <c r="A2026" t="s">
        <v>5251</v>
      </c>
      <c r="C2026" t="s">
        <v>3322</v>
      </c>
      <c r="D2026">
        <v>0</v>
      </c>
      <c r="H2026">
        <f t="shared" si="31"/>
        <v>0</v>
      </c>
      <c r="L2026" t="s">
        <v>5</v>
      </c>
    </row>
    <row r="2027" spans="1:24" x14ac:dyDescent="0.25">
      <c r="A2027" t="s">
        <v>5251</v>
      </c>
      <c r="C2027" t="s">
        <v>3323</v>
      </c>
      <c r="D2027">
        <v>0</v>
      </c>
      <c r="H2027">
        <f t="shared" si="31"/>
        <v>0</v>
      </c>
      <c r="L2027" t="s">
        <v>5</v>
      </c>
    </row>
    <row r="2028" spans="1:24" x14ac:dyDescent="0.25">
      <c r="A2028" t="s">
        <v>5251</v>
      </c>
      <c r="C2028" t="s">
        <v>3324</v>
      </c>
      <c r="D2028">
        <v>0</v>
      </c>
      <c r="H2028">
        <f t="shared" si="31"/>
        <v>0</v>
      </c>
      <c r="L2028" t="s">
        <v>5</v>
      </c>
    </row>
    <row r="2029" spans="1:24" x14ac:dyDescent="0.25">
      <c r="A2029" t="s">
        <v>5251</v>
      </c>
      <c r="C2029" t="s">
        <v>3325</v>
      </c>
      <c r="D2029">
        <v>0</v>
      </c>
      <c r="E2029" t="s">
        <v>3326</v>
      </c>
      <c r="H2029" t="str">
        <f t="shared" si="31"/>
        <v>Turn off the PVS.</v>
      </c>
      <c r="L2029" t="s">
        <v>5</v>
      </c>
    </row>
    <row r="2030" spans="1:24" x14ac:dyDescent="0.25">
      <c r="A2030" t="s">
        <v>5251</v>
      </c>
      <c r="C2030" t="s">
        <v>3327</v>
      </c>
      <c r="D2030">
        <v>0</v>
      </c>
      <c r="E2030" t="s">
        <v>3328</v>
      </c>
      <c r="H2030" t="str">
        <f t="shared" si="31"/>
        <v>Activate/deactivates spew about what the occlusion system is doing.</v>
      </c>
      <c r="L2030" t="s">
        <v>5</v>
      </c>
    </row>
    <row r="2031" spans="1:24" x14ac:dyDescent="0.25">
      <c r="A2031" t="s">
        <v>5251</v>
      </c>
      <c r="C2031" t="s">
        <v>3329</v>
      </c>
      <c r="D2031">
        <v>0</v>
      </c>
      <c r="E2031" t="s">
        <v>3330</v>
      </c>
      <c r="H2031" t="str">
        <f t="shared" si="31"/>
        <v>Set this to revert to HL2's method of selecting lights</v>
      </c>
      <c r="L2031" t="s">
        <v>5</v>
      </c>
    </row>
    <row r="2032" spans="1:24" x14ac:dyDescent="0.25">
      <c r="A2032" t="s">
        <v>5251</v>
      </c>
      <c r="C2032" t="s">
        <v>3331</v>
      </c>
      <c r="D2032">
        <v>0</v>
      </c>
      <c r="H2032">
        <f t="shared" si="31"/>
        <v>0</v>
      </c>
      <c r="L2032" t="s">
        <v>5</v>
      </c>
      <c r="X2032" t="s">
        <v>17</v>
      </c>
    </row>
    <row r="2033" spans="1:24" x14ac:dyDescent="0.25">
      <c r="A2033" t="s">
        <v>5251</v>
      </c>
      <c r="C2033" t="s">
        <v>3332</v>
      </c>
      <c r="D2033">
        <v>-1</v>
      </c>
      <c r="E2033" t="s">
        <v>3333</v>
      </c>
      <c r="H2033" t="str">
        <f t="shared" si="31"/>
        <v>Displays a particular level of the spatial partition system. Use -1 to disable it.</v>
      </c>
      <c r="L2033" t="s">
        <v>5</v>
      </c>
    </row>
    <row r="2034" spans="1:24" x14ac:dyDescent="0.25">
      <c r="A2034" t="s">
        <v>5251</v>
      </c>
      <c r="C2034" t="s">
        <v>3334</v>
      </c>
      <c r="D2034">
        <v>1</v>
      </c>
      <c r="H2034">
        <f t="shared" si="31"/>
        <v>0</v>
      </c>
      <c r="I2034" t="s">
        <v>2</v>
      </c>
      <c r="X2034" t="s">
        <v>17</v>
      </c>
    </row>
    <row r="2035" spans="1:24" x14ac:dyDescent="0.25">
      <c r="A2035" t="s">
        <v>5251</v>
      </c>
      <c r="C2035" t="s">
        <v>3335</v>
      </c>
      <c r="D2035">
        <v>0</v>
      </c>
      <c r="E2035" t="s">
        <v>3336</v>
      </c>
      <c r="H2035" t="str">
        <f t="shared" si="31"/>
        <v>Open all portals</v>
      </c>
      <c r="L2035" t="s">
        <v>5</v>
      </c>
    </row>
    <row r="2036" spans="1:24" x14ac:dyDescent="0.25">
      <c r="A2036" t="s">
        <v>5251</v>
      </c>
      <c r="C2036" t="s">
        <v>3337</v>
      </c>
      <c r="D2036">
        <v>1</v>
      </c>
      <c r="E2036" t="s">
        <v>3338</v>
      </c>
      <c r="H2036" t="str">
        <f t="shared" si="31"/>
        <v>Clip entities against portal frustums.</v>
      </c>
      <c r="L2036" t="s">
        <v>5</v>
      </c>
      <c r="X2036" t="s">
        <v>17</v>
      </c>
    </row>
    <row r="2037" spans="1:24" x14ac:dyDescent="0.25">
      <c r="A2037" t="s">
        <v>5251</v>
      </c>
      <c r="C2037" t="s">
        <v>3339</v>
      </c>
      <c r="D2037" t="s">
        <v>25</v>
      </c>
      <c r="H2037">
        <f t="shared" si="31"/>
        <v>0</v>
      </c>
    </row>
    <row r="2038" spans="1:24" x14ac:dyDescent="0.25">
      <c r="A2038" t="s">
        <v>5251</v>
      </c>
      <c r="C2038" t="s">
        <v>3340</v>
      </c>
      <c r="D2038">
        <v>-1</v>
      </c>
      <c r="E2038" t="s">
        <v>3341</v>
      </c>
      <c r="H2038" t="str">
        <f t="shared" si="31"/>
        <v>0 - off, 1 - static prop color meshes are allocated from a single shared vertex buffer (on hardware that supports stream offset</v>
      </c>
      <c r="L2038" t="s">
        <v>5</v>
      </c>
    </row>
    <row r="2039" spans="1:24" x14ac:dyDescent="0.25">
      <c r="A2039" t="s">
        <v>5251</v>
      </c>
      <c r="C2039" t="s">
        <v>3342</v>
      </c>
      <c r="D2039">
        <v>4</v>
      </c>
      <c r="E2039" t="s">
        <v>5226</v>
      </c>
      <c r="H2039" t="str">
        <f t="shared" si="31"/>
        <v>0: no radiosity 1: radiosity with ambient cube (6 samples) 2: radiosity with 162 samples 3: 162 samples for static props, 6 sam</v>
      </c>
      <c r="L2039" t="s">
        <v>5</v>
      </c>
    </row>
    <row r="2040" spans="1:24" x14ac:dyDescent="0.25">
      <c r="A2040" t="s">
        <v>5251</v>
      </c>
      <c r="C2040" t="s">
        <v>3343</v>
      </c>
      <c r="D2040">
        <v>0</v>
      </c>
      <c r="H2040">
        <f t="shared" si="31"/>
        <v>0</v>
      </c>
      <c r="L2040" t="s">
        <v>5</v>
      </c>
      <c r="X2040" t="s">
        <v>17</v>
      </c>
    </row>
    <row r="2041" spans="1:24" x14ac:dyDescent="0.25">
      <c r="A2041" t="s">
        <v>5251</v>
      </c>
      <c r="C2041" t="s">
        <v>3344</v>
      </c>
      <c r="D2041">
        <v>0</v>
      </c>
      <c r="H2041">
        <f t="shared" si="31"/>
        <v>0</v>
      </c>
      <c r="L2041" t="s">
        <v>5</v>
      </c>
      <c r="X2041" t="s">
        <v>17</v>
      </c>
    </row>
    <row r="2042" spans="1:24" x14ac:dyDescent="0.25">
      <c r="A2042" t="s">
        <v>5251</v>
      </c>
      <c r="C2042" t="s">
        <v>3345</v>
      </c>
      <c r="D2042">
        <v>0</v>
      </c>
      <c r="E2042" t="s">
        <v>3346</v>
      </c>
      <c r="H2042" t="str">
        <f t="shared" si="31"/>
        <v>Enable/disable IsInAir() check for rain drops?</v>
      </c>
      <c r="L2042" t="s">
        <v>5</v>
      </c>
      <c r="X2042" t="s">
        <v>17</v>
      </c>
    </row>
    <row r="2043" spans="1:24" x14ac:dyDescent="0.25">
      <c r="A2043" t="s">
        <v>5251</v>
      </c>
      <c r="C2043" t="s">
        <v>3347</v>
      </c>
      <c r="D2043">
        <v>0</v>
      </c>
      <c r="E2043" t="s">
        <v>3348</v>
      </c>
      <c r="H2043" t="str">
        <f t="shared" si="31"/>
        <v>Shows rain tracelines for this many seconds (0 disables)</v>
      </c>
      <c r="L2043" t="s">
        <v>5</v>
      </c>
      <c r="X2043" t="s">
        <v>17</v>
      </c>
    </row>
    <row r="2044" spans="1:24" x14ac:dyDescent="0.25">
      <c r="A2044" t="s">
        <v>5251</v>
      </c>
      <c r="C2044" t="s">
        <v>3349</v>
      </c>
      <c r="D2044">
        <v>0</v>
      </c>
      <c r="H2044">
        <f t="shared" si="31"/>
        <v>0</v>
      </c>
      <c r="L2044" t="s">
        <v>5</v>
      </c>
      <c r="X2044" t="s">
        <v>17</v>
      </c>
    </row>
    <row r="2045" spans="1:24" x14ac:dyDescent="0.25">
      <c r="A2045" t="s">
        <v>5251</v>
      </c>
      <c r="C2045" t="s">
        <v>3350</v>
      </c>
      <c r="D2045">
        <v>0</v>
      </c>
      <c r="H2045">
        <f t="shared" si="31"/>
        <v>0</v>
      </c>
      <c r="L2045" t="s">
        <v>5</v>
      </c>
      <c r="X2045" t="s">
        <v>17</v>
      </c>
    </row>
    <row r="2046" spans="1:24" x14ac:dyDescent="0.25">
      <c r="A2046" t="s">
        <v>5251</v>
      </c>
      <c r="C2046" t="s">
        <v>3351</v>
      </c>
      <c r="D2046">
        <v>0</v>
      </c>
      <c r="H2046">
        <f t="shared" si="31"/>
        <v>0</v>
      </c>
      <c r="L2046" t="s">
        <v>5</v>
      </c>
      <c r="X2046" t="s">
        <v>17</v>
      </c>
    </row>
    <row r="2047" spans="1:24" x14ac:dyDescent="0.25">
      <c r="A2047" t="s">
        <v>5251</v>
      </c>
      <c r="C2047" t="s">
        <v>3352</v>
      </c>
      <c r="D2047">
        <v>0</v>
      </c>
      <c r="E2047" t="s">
        <v>3353</v>
      </c>
      <c r="H2047" t="str">
        <f t="shared" si="31"/>
        <v>Enable/disable rain profiling.</v>
      </c>
      <c r="L2047" t="s">
        <v>5</v>
      </c>
      <c r="X2047" t="s">
        <v>17</v>
      </c>
    </row>
    <row r="2048" spans="1:24" x14ac:dyDescent="0.25">
      <c r="A2048" t="s">
        <v>5251</v>
      </c>
      <c r="C2048" t="s">
        <v>3354</v>
      </c>
      <c r="D2048">
        <v>1500</v>
      </c>
      <c r="H2048">
        <f t="shared" si="31"/>
        <v>0</v>
      </c>
      <c r="L2048" t="s">
        <v>5</v>
      </c>
      <c r="X2048" t="s">
        <v>17</v>
      </c>
    </row>
    <row r="2049" spans="1:24" x14ac:dyDescent="0.25">
      <c r="A2049" t="s">
        <v>5251</v>
      </c>
      <c r="C2049" t="s">
        <v>3355</v>
      </c>
      <c r="D2049">
        <v>130</v>
      </c>
      <c r="E2049" t="s">
        <v>3356</v>
      </c>
      <c r="H2049" t="str">
        <f t="shared" si="31"/>
        <v>How much sideways velocity rain gets.</v>
      </c>
      <c r="L2049" t="s">
        <v>5</v>
      </c>
      <c r="X2049" t="s">
        <v>17</v>
      </c>
    </row>
    <row r="2050" spans="1:24" x14ac:dyDescent="0.25">
      <c r="A2050" t="s">
        <v>5251</v>
      </c>
      <c r="C2050" t="s">
        <v>3357</v>
      </c>
      <c r="D2050">
        <v>1</v>
      </c>
      <c r="E2050" t="s">
        <v>3358</v>
      </c>
      <c r="H2050" t="str">
        <f t="shared" si="31"/>
        <v>Enable/disable rain simulation.</v>
      </c>
      <c r="L2050" t="s">
        <v>5</v>
      </c>
      <c r="X2050" t="s">
        <v>17</v>
      </c>
    </row>
    <row r="2051" spans="1:24" x14ac:dyDescent="0.25">
      <c r="A2051" t="s">
        <v>5251</v>
      </c>
      <c r="C2051" t="s">
        <v>3359</v>
      </c>
      <c r="D2051">
        <v>600</v>
      </c>
      <c r="H2051">
        <f t="shared" ref="H2051:H2114" si="32">IF(F2051="",E2051, F2051 &amp; " - Original Helptext: " &amp;E2051)</f>
        <v>0</v>
      </c>
      <c r="L2051" t="s">
        <v>5</v>
      </c>
      <c r="X2051" t="s">
        <v>17</v>
      </c>
    </row>
    <row r="2052" spans="1:24" x14ac:dyDescent="0.25">
      <c r="A2052" t="s">
        <v>5251</v>
      </c>
      <c r="C2052" t="s">
        <v>3360</v>
      </c>
      <c r="D2052">
        <v>20</v>
      </c>
      <c r="H2052">
        <f t="shared" si="32"/>
        <v>0</v>
      </c>
      <c r="L2052" t="s">
        <v>5</v>
      </c>
      <c r="X2052" t="s">
        <v>17</v>
      </c>
    </row>
    <row r="2053" spans="1:24" x14ac:dyDescent="0.25">
      <c r="A2053" t="s">
        <v>5251</v>
      </c>
      <c r="C2053" t="s">
        <v>3361</v>
      </c>
      <c r="D2053">
        <v>0</v>
      </c>
      <c r="H2053">
        <f t="shared" si="32"/>
        <v>0</v>
      </c>
      <c r="L2053" t="s">
        <v>5</v>
      </c>
      <c r="X2053" t="s">
        <v>17</v>
      </c>
    </row>
    <row r="2054" spans="1:24" x14ac:dyDescent="0.25">
      <c r="A2054" t="s">
        <v>5251</v>
      </c>
      <c r="C2054" t="s">
        <v>3362</v>
      </c>
      <c r="D2054">
        <v>0</v>
      </c>
      <c r="H2054">
        <f t="shared" si="32"/>
        <v>0</v>
      </c>
      <c r="L2054" t="s">
        <v>5</v>
      </c>
    </row>
    <row r="2055" spans="1:24" x14ac:dyDescent="0.25">
      <c r="A2055" t="s">
        <v>5251</v>
      </c>
      <c r="C2055" t="s">
        <v>3363</v>
      </c>
      <c r="D2055">
        <v>-1</v>
      </c>
      <c r="H2055">
        <f t="shared" si="32"/>
        <v>0</v>
      </c>
      <c r="L2055" t="s">
        <v>5</v>
      </c>
      <c r="X2055" t="s">
        <v>17</v>
      </c>
    </row>
    <row r="2056" spans="1:24" x14ac:dyDescent="0.25">
      <c r="A2056" t="s">
        <v>5251</v>
      </c>
      <c r="C2056" t="s">
        <v>3364</v>
      </c>
      <c r="D2056">
        <v>1</v>
      </c>
      <c r="H2056">
        <f t="shared" si="32"/>
        <v>0</v>
      </c>
      <c r="L2056" t="s">
        <v>5</v>
      </c>
    </row>
    <row r="2057" spans="1:24" x14ac:dyDescent="0.25">
      <c r="A2057" t="s">
        <v>5251</v>
      </c>
      <c r="C2057" t="s">
        <v>3365</v>
      </c>
      <c r="D2057" t="s">
        <v>25</v>
      </c>
      <c r="E2057" t="s">
        <v>3366</v>
      </c>
      <c r="H2057" t="str">
        <f t="shared" si="32"/>
        <v>Set each light's color: [light0-3] [r0-255] [g0-255] [b0-255]</v>
      </c>
    </row>
    <row r="2058" spans="1:24" x14ac:dyDescent="0.25">
      <c r="A2058" t="s">
        <v>5251</v>
      </c>
      <c r="C2058" t="s">
        <v>3367</v>
      </c>
      <c r="D2058" t="s">
        <v>25</v>
      </c>
      <c r="E2058" t="s">
        <v>3368</v>
      </c>
      <c r="H2058" t="str">
        <f t="shared" si="32"/>
        <v>Draw specified material as an overlay</v>
      </c>
    </row>
    <row r="2059" spans="1:24" x14ac:dyDescent="0.25">
      <c r="A2059" t="s">
        <v>5251</v>
      </c>
      <c r="C2059" t="s">
        <v>3369</v>
      </c>
      <c r="D2059">
        <v>0</v>
      </c>
      <c r="H2059">
        <f t="shared" si="32"/>
        <v>0</v>
      </c>
      <c r="L2059" t="s">
        <v>5</v>
      </c>
      <c r="X2059" t="s">
        <v>17</v>
      </c>
    </row>
    <row r="2060" spans="1:24" x14ac:dyDescent="0.25">
      <c r="A2060" t="s">
        <v>5251</v>
      </c>
      <c r="C2060" t="s">
        <v>3370</v>
      </c>
      <c r="D2060">
        <v>0</v>
      </c>
      <c r="E2060" t="s">
        <v>3371</v>
      </c>
      <c r="H2060" t="str">
        <f t="shared" si="32"/>
        <v>Toggle deferred shadow rendering</v>
      </c>
      <c r="L2060" t="s">
        <v>5</v>
      </c>
    </row>
    <row r="2061" spans="1:24" x14ac:dyDescent="0.25">
      <c r="A2061" t="s">
        <v>5251</v>
      </c>
      <c r="C2061" t="s">
        <v>3372</v>
      </c>
      <c r="D2061" t="s">
        <v>25</v>
      </c>
      <c r="E2061" t="s">
        <v>3373</v>
      </c>
      <c r="H2061" t="str">
        <f t="shared" si="32"/>
        <v>Set shadow angles</v>
      </c>
    </row>
    <row r="2062" spans="1:24" x14ac:dyDescent="0.25">
      <c r="A2062" t="s">
        <v>5251</v>
      </c>
      <c r="C2062" t="s">
        <v>3374</v>
      </c>
      <c r="D2062" t="s">
        <v>25</v>
      </c>
      <c r="E2062" t="s">
        <v>3375</v>
      </c>
      <c r="H2062" t="str">
        <f t="shared" si="32"/>
        <v>some shadow stuff</v>
      </c>
    </row>
    <row r="2063" spans="1:24" x14ac:dyDescent="0.25">
      <c r="A2063" t="s">
        <v>5251</v>
      </c>
      <c r="C2063" t="s">
        <v>3376</v>
      </c>
      <c r="D2063" t="s">
        <v>25</v>
      </c>
      <c r="E2063" t="s">
        <v>3377</v>
      </c>
      <c r="H2063" t="str">
        <f t="shared" si="32"/>
        <v>Set shadow color</v>
      </c>
    </row>
    <row r="2064" spans="1:24" x14ac:dyDescent="0.25">
      <c r="A2064" t="s">
        <v>5251</v>
      </c>
      <c r="C2064" t="s">
        <v>3378</v>
      </c>
      <c r="D2064" t="s">
        <v>25</v>
      </c>
      <c r="E2064" t="s">
        <v>3379</v>
      </c>
      <c r="H2064" t="str">
        <f t="shared" si="32"/>
        <v>Set shadow direction</v>
      </c>
    </row>
    <row r="2065" spans="1:24" x14ac:dyDescent="0.25">
      <c r="A2065" t="s">
        <v>5251</v>
      </c>
      <c r="C2065" t="s">
        <v>3380</v>
      </c>
      <c r="D2065" t="s">
        <v>25</v>
      </c>
      <c r="E2065" t="s">
        <v>3381</v>
      </c>
      <c r="H2065" t="str">
        <f t="shared" si="32"/>
        <v>Set shadow distance</v>
      </c>
    </row>
    <row r="2066" spans="1:24" x14ac:dyDescent="0.25">
      <c r="A2066" t="s">
        <v>5251</v>
      </c>
      <c r="C2066" t="s">
        <v>3382</v>
      </c>
      <c r="D2066">
        <v>0</v>
      </c>
      <c r="H2066">
        <f t="shared" si="32"/>
        <v>0</v>
      </c>
      <c r="L2066" t="s">
        <v>5</v>
      </c>
      <c r="X2066" t="s">
        <v>17</v>
      </c>
    </row>
    <row r="2067" spans="1:24" x14ac:dyDescent="0.25">
      <c r="A2067" t="s">
        <v>5251</v>
      </c>
      <c r="C2067" t="s">
        <v>3383</v>
      </c>
      <c r="D2067">
        <v>0</v>
      </c>
      <c r="H2067">
        <f t="shared" si="32"/>
        <v>0</v>
      </c>
      <c r="L2067" t="s">
        <v>5</v>
      </c>
      <c r="X2067" t="s">
        <v>17</v>
      </c>
    </row>
    <row r="2068" spans="1:24" x14ac:dyDescent="0.25">
      <c r="A2068" t="s">
        <v>5251</v>
      </c>
      <c r="C2068" t="s">
        <v>3384</v>
      </c>
      <c r="D2068">
        <v>0</v>
      </c>
      <c r="H2068">
        <f t="shared" si="32"/>
        <v>0</v>
      </c>
      <c r="L2068" t="s">
        <v>5</v>
      </c>
    </row>
    <row r="2069" spans="1:24" x14ac:dyDescent="0.25">
      <c r="A2069" t="s">
        <v>5251</v>
      </c>
      <c r="C2069" t="s">
        <v>3385</v>
      </c>
      <c r="D2069">
        <v>-1</v>
      </c>
      <c r="H2069">
        <f t="shared" si="32"/>
        <v>0</v>
      </c>
      <c r="L2069" t="s">
        <v>5</v>
      </c>
    </row>
    <row r="2070" spans="1:24" x14ac:dyDescent="0.25">
      <c r="A2070" t="s">
        <v>5251</v>
      </c>
      <c r="C2070" t="s">
        <v>3386</v>
      </c>
      <c r="D2070">
        <v>0</v>
      </c>
      <c r="H2070">
        <f t="shared" si="32"/>
        <v>0</v>
      </c>
      <c r="L2070" t="s">
        <v>5</v>
      </c>
    </row>
    <row r="2071" spans="1:24" x14ac:dyDescent="0.25">
      <c r="A2071" t="s">
        <v>5251</v>
      </c>
      <c r="C2071" t="s">
        <v>3387</v>
      </c>
      <c r="D2071">
        <v>0</v>
      </c>
      <c r="H2071">
        <f t="shared" si="32"/>
        <v>0</v>
      </c>
      <c r="L2071" t="s">
        <v>5</v>
      </c>
    </row>
    <row r="2072" spans="1:24" x14ac:dyDescent="0.25">
      <c r="A2072" t="s">
        <v>5251</v>
      </c>
      <c r="C2072" t="s">
        <v>3388</v>
      </c>
      <c r="D2072">
        <v>1</v>
      </c>
      <c r="H2072">
        <f t="shared" si="32"/>
        <v>0</v>
      </c>
      <c r="L2072" t="s">
        <v>5</v>
      </c>
    </row>
    <row r="2073" spans="1:24" x14ac:dyDescent="0.25">
      <c r="A2073" t="s">
        <v>5251</v>
      </c>
      <c r="C2073" t="s">
        <v>3389</v>
      </c>
      <c r="D2073">
        <v>0</v>
      </c>
      <c r="H2073">
        <f t="shared" si="32"/>
        <v>0</v>
      </c>
      <c r="L2073" t="s">
        <v>5</v>
      </c>
    </row>
    <row r="2074" spans="1:24" x14ac:dyDescent="0.25">
      <c r="A2074" t="s">
        <v>5251</v>
      </c>
      <c r="C2074" t="s">
        <v>3390</v>
      </c>
      <c r="D2074">
        <v>1</v>
      </c>
      <c r="E2074" t="s">
        <v>3391</v>
      </c>
      <c r="H2074" t="str">
        <f t="shared" si="32"/>
        <v>Enable the rendering of sky boxes</v>
      </c>
      <c r="L2074" t="s">
        <v>5</v>
      </c>
      <c r="X2074" t="s">
        <v>17</v>
      </c>
    </row>
    <row r="2075" spans="1:24" x14ac:dyDescent="0.25">
      <c r="A2075" t="s">
        <v>5251</v>
      </c>
      <c r="C2075" t="s">
        <v>3392</v>
      </c>
      <c r="D2075">
        <v>0</v>
      </c>
      <c r="H2075">
        <f t="shared" si="32"/>
        <v>0</v>
      </c>
      <c r="L2075" t="s">
        <v>5</v>
      </c>
    </row>
    <row r="2076" spans="1:24" x14ac:dyDescent="0.25">
      <c r="A2076" t="s">
        <v>5251</v>
      </c>
      <c r="C2076" t="s">
        <v>3393</v>
      </c>
      <c r="D2076">
        <v>0</v>
      </c>
      <c r="E2076" t="s">
        <v>3394</v>
      </c>
      <c r="H2076" t="str">
        <f t="shared" si="32"/>
        <v>Snow Debug Boxes.</v>
      </c>
      <c r="L2076" t="s">
        <v>5</v>
      </c>
      <c r="X2076" t="s">
        <v>17</v>
      </c>
    </row>
    <row r="2077" spans="1:24" x14ac:dyDescent="0.25">
      <c r="A2077" t="s">
        <v>5251</v>
      </c>
      <c r="C2077" t="s">
        <v>3395</v>
      </c>
      <c r="D2077">
        <v>1</v>
      </c>
      <c r="E2077" t="s">
        <v>3396</v>
      </c>
      <c r="H2077" t="str">
        <f t="shared" si="32"/>
        <v>Snow Enable</v>
      </c>
      <c r="L2077" t="s">
        <v>5</v>
      </c>
      <c r="X2077" t="s">
        <v>17</v>
      </c>
    </row>
    <row r="2078" spans="1:24" x14ac:dyDescent="0.25">
      <c r="A2078" t="s">
        <v>5251</v>
      </c>
      <c r="C2078" t="s">
        <v>3397</v>
      </c>
      <c r="D2078">
        <v>255</v>
      </c>
      <c r="E2078" t="s">
        <v>3398</v>
      </c>
      <c r="H2078" t="str">
        <f t="shared" si="32"/>
        <v>Snow.</v>
      </c>
      <c r="L2078" t="s">
        <v>5</v>
      </c>
      <c r="X2078" t="s">
        <v>17</v>
      </c>
    </row>
    <row r="2079" spans="1:24" x14ac:dyDescent="0.25">
      <c r="A2079" t="s">
        <v>5251</v>
      </c>
      <c r="C2079" t="s">
        <v>3399</v>
      </c>
      <c r="D2079">
        <v>0</v>
      </c>
      <c r="E2079" t="s">
        <v>3398</v>
      </c>
      <c r="H2079" t="str">
        <f t="shared" si="32"/>
        <v>Snow.</v>
      </c>
      <c r="L2079" t="s">
        <v>5</v>
      </c>
      <c r="X2079" t="s">
        <v>17</v>
      </c>
    </row>
    <row r="2080" spans="1:24" x14ac:dyDescent="0.25">
      <c r="A2080" t="s">
        <v>5251</v>
      </c>
      <c r="C2080" t="s">
        <v>3400</v>
      </c>
      <c r="D2080">
        <v>1</v>
      </c>
      <c r="E2080" t="s">
        <v>3401</v>
      </c>
      <c r="H2080" t="str">
        <f t="shared" si="32"/>
        <v>Snow fall speed scale.</v>
      </c>
      <c r="L2080" t="s">
        <v>5</v>
      </c>
      <c r="X2080" t="s">
        <v>17</v>
      </c>
    </row>
    <row r="2081" spans="1:24" x14ac:dyDescent="0.25">
      <c r="A2081" t="s">
        <v>5251</v>
      </c>
      <c r="C2081" t="s">
        <v>3402</v>
      </c>
      <c r="D2081">
        <v>256</v>
      </c>
      <c r="E2081" t="s">
        <v>3398</v>
      </c>
      <c r="H2081" t="str">
        <f t="shared" si="32"/>
        <v>Snow.</v>
      </c>
      <c r="L2081" t="s">
        <v>5</v>
      </c>
      <c r="X2081" t="s">
        <v>17</v>
      </c>
    </row>
    <row r="2082" spans="1:24" x14ac:dyDescent="0.25">
      <c r="A2082" t="s">
        <v>5251</v>
      </c>
      <c r="C2082" t="s">
        <v>3403</v>
      </c>
      <c r="D2082">
        <v>1024</v>
      </c>
      <c r="E2082" t="s">
        <v>3398</v>
      </c>
      <c r="H2082" t="str">
        <f t="shared" si="32"/>
        <v>Snow.</v>
      </c>
      <c r="L2082" t="s">
        <v>5</v>
      </c>
      <c r="X2082" t="s">
        <v>17</v>
      </c>
    </row>
    <row r="2083" spans="1:24" x14ac:dyDescent="0.25">
      <c r="A2083" t="s">
        <v>5251</v>
      </c>
      <c r="C2083" t="s">
        <v>3404</v>
      </c>
      <c r="D2083">
        <v>500</v>
      </c>
      <c r="E2083" t="s">
        <v>3398</v>
      </c>
      <c r="H2083" t="str">
        <f t="shared" si="32"/>
        <v>Snow.</v>
      </c>
      <c r="L2083" t="s">
        <v>5</v>
      </c>
      <c r="X2083" t="s">
        <v>17</v>
      </c>
    </row>
    <row r="2084" spans="1:24" x14ac:dyDescent="0.25">
      <c r="A2084" t="s">
        <v>5251</v>
      </c>
      <c r="C2084" t="s">
        <v>3405</v>
      </c>
      <c r="D2084">
        <v>1</v>
      </c>
      <c r="E2084" t="s">
        <v>3398</v>
      </c>
      <c r="H2084" t="str">
        <f t="shared" si="32"/>
        <v>Snow.</v>
      </c>
      <c r="L2084" t="s">
        <v>5</v>
      </c>
      <c r="X2084" t="s">
        <v>17</v>
      </c>
    </row>
    <row r="2085" spans="1:24" x14ac:dyDescent="0.25">
      <c r="A2085" t="s">
        <v>5251</v>
      </c>
      <c r="C2085" t="s">
        <v>3406</v>
      </c>
      <c r="D2085">
        <v>1</v>
      </c>
      <c r="E2085" t="s">
        <v>3398</v>
      </c>
      <c r="H2085" t="str">
        <f t="shared" si="32"/>
        <v>Snow.</v>
      </c>
      <c r="L2085" t="s">
        <v>5</v>
      </c>
      <c r="X2085" t="s">
        <v>17</v>
      </c>
    </row>
    <row r="2086" spans="1:24" x14ac:dyDescent="0.25">
      <c r="A2086" t="s">
        <v>5251</v>
      </c>
      <c r="C2086" t="s">
        <v>3407</v>
      </c>
      <c r="D2086">
        <v>8192</v>
      </c>
      <c r="E2086" t="s">
        <v>3398</v>
      </c>
      <c r="H2086" t="str">
        <f t="shared" si="32"/>
        <v>Snow.</v>
      </c>
      <c r="L2086" t="s">
        <v>5</v>
      </c>
      <c r="X2086" t="s">
        <v>17</v>
      </c>
    </row>
    <row r="2087" spans="1:24" x14ac:dyDescent="0.25">
      <c r="A2087" t="s">
        <v>5251</v>
      </c>
      <c r="C2087" t="s">
        <v>3408</v>
      </c>
      <c r="D2087">
        <v>256</v>
      </c>
      <c r="E2087" t="s">
        <v>3398</v>
      </c>
      <c r="H2087" t="str">
        <f t="shared" si="32"/>
        <v>Snow.</v>
      </c>
      <c r="L2087" t="s">
        <v>5</v>
      </c>
      <c r="X2087" t="s">
        <v>17</v>
      </c>
    </row>
    <row r="2088" spans="1:24" x14ac:dyDescent="0.25">
      <c r="A2088" t="s">
        <v>5251</v>
      </c>
      <c r="C2088" t="s">
        <v>3409</v>
      </c>
      <c r="D2088">
        <v>1</v>
      </c>
      <c r="E2088" t="s">
        <v>3398</v>
      </c>
      <c r="H2088" t="str">
        <f t="shared" si="32"/>
        <v>Snow.</v>
      </c>
      <c r="L2088" t="s">
        <v>5</v>
      </c>
      <c r="X2088" t="s">
        <v>17</v>
      </c>
    </row>
    <row r="2089" spans="1:24" x14ac:dyDescent="0.25">
      <c r="A2089" t="s">
        <v>5251</v>
      </c>
      <c r="C2089" t="s">
        <v>3410</v>
      </c>
      <c r="D2089">
        <v>25</v>
      </c>
      <c r="E2089" t="s">
        <v>3398</v>
      </c>
      <c r="H2089" t="str">
        <f t="shared" si="32"/>
        <v>Snow.</v>
      </c>
      <c r="L2089" t="s">
        <v>5</v>
      </c>
      <c r="X2089" t="s">
        <v>17</v>
      </c>
    </row>
    <row r="2090" spans="1:24" x14ac:dyDescent="0.25">
      <c r="A2090" t="s">
        <v>5251</v>
      </c>
      <c r="C2090" t="s">
        <v>3411</v>
      </c>
      <c r="D2090">
        <v>1</v>
      </c>
      <c r="E2090" t="s">
        <v>3398</v>
      </c>
      <c r="H2090" t="str">
        <f t="shared" si="32"/>
        <v>Snow.</v>
      </c>
      <c r="L2090" t="s">
        <v>5</v>
      </c>
      <c r="X2090" t="s">
        <v>17</v>
      </c>
    </row>
    <row r="2091" spans="1:24" x14ac:dyDescent="0.25">
      <c r="A2091" t="s">
        <v>5251</v>
      </c>
      <c r="C2091" t="s">
        <v>3412</v>
      </c>
      <c r="D2091">
        <v>0</v>
      </c>
      <c r="E2091" t="s">
        <v>3398</v>
      </c>
      <c r="H2091" t="str">
        <f t="shared" si="32"/>
        <v>Snow.</v>
      </c>
      <c r="L2091" t="s">
        <v>5</v>
      </c>
      <c r="X2091" t="s">
        <v>17</v>
      </c>
    </row>
    <row r="2092" spans="1:24" x14ac:dyDescent="0.25">
      <c r="A2092" t="s">
        <v>5251</v>
      </c>
      <c r="C2092" t="s">
        <v>3413</v>
      </c>
      <c r="D2092">
        <v>384</v>
      </c>
      <c r="E2092" t="s">
        <v>3398</v>
      </c>
      <c r="H2092" t="str">
        <f t="shared" si="32"/>
        <v>Snow.</v>
      </c>
      <c r="L2092" t="s">
        <v>5</v>
      </c>
      <c r="X2092" t="s">
        <v>17</v>
      </c>
    </row>
    <row r="2093" spans="1:24" x14ac:dyDescent="0.25">
      <c r="A2093" t="s">
        <v>5251</v>
      </c>
      <c r="C2093" t="s">
        <v>3414</v>
      </c>
      <c r="D2093">
        <v>512</v>
      </c>
      <c r="E2093" t="s">
        <v>3398</v>
      </c>
      <c r="H2093" t="str">
        <f t="shared" si="32"/>
        <v>Snow.</v>
      </c>
      <c r="L2093" t="s">
        <v>5</v>
      </c>
      <c r="X2093" t="s">
        <v>17</v>
      </c>
    </row>
    <row r="2094" spans="1:24" x14ac:dyDescent="0.25">
      <c r="A2094" t="s">
        <v>5251</v>
      </c>
      <c r="C2094" t="s">
        <v>3415</v>
      </c>
      <c r="D2094">
        <v>1</v>
      </c>
      <c r="H2094">
        <f t="shared" si="32"/>
        <v>0</v>
      </c>
      <c r="L2094" t="s">
        <v>5</v>
      </c>
      <c r="X2094" t="s">
        <v>17</v>
      </c>
    </row>
    <row r="2095" spans="1:24" x14ac:dyDescent="0.25">
      <c r="A2095" t="s">
        <v>5251</v>
      </c>
      <c r="C2095" t="s">
        <v>3416</v>
      </c>
      <c r="D2095">
        <v>0</v>
      </c>
      <c r="H2095">
        <f t="shared" si="32"/>
        <v>0</v>
      </c>
      <c r="L2095" t="s">
        <v>5</v>
      </c>
      <c r="X2095" t="s">
        <v>17</v>
      </c>
    </row>
    <row r="2096" spans="1:24" x14ac:dyDescent="0.25">
      <c r="A2096" t="s">
        <v>5251</v>
      </c>
      <c r="C2096" t="s">
        <v>3417</v>
      </c>
      <c r="D2096">
        <v>1</v>
      </c>
      <c r="H2096">
        <f t="shared" si="32"/>
        <v>0</v>
      </c>
      <c r="L2096" t="s">
        <v>5</v>
      </c>
      <c r="X2096" t="s">
        <v>17</v>
      </c>
    </row>
    <row r="2097" spans="1:24" x14ac:dyDescent="0.25">
      <c r="A2097" t="s">
        <v>5251</v>
      </c>
      <c r="C2097" t="s">
        <v>3418</v>
      </c>
      <c r="D2097">
        <v>1</v>
      </c>
      <c r="H2097">
        <f t="shared" si="32"/>
        <v>0</v>
      </c>
      <c r="K2097" t="s">
        <v>4</v>
      </c>
      <c r="L2097" t="s">
        <v>5</v>
      </c>
    </row>
    <row r="2098" spans="1:24" x14ac:dyDescent="0.25">
      <c r="A2098" t="s">
        <v>5251</v>
      </c>
      <c r="C2098" t="s">
        <v>3419</v>
      </c>
      <c r="D2098">
        <v>1</v>
      </c>
      <c r="H2098">
        <f t="shared" si="32"/>
        <v>0</v>
      </c>
      <c r="L2098" t="s">
        <v>5</v>
      </c>
      <c r="X2098" t="s">
        <v>17</v>
      </c>
    </row>
    <row r="2099" spans="1:24" x14ac:dyDescent="0.25">
      <c r="A2099" t="s">
        <v>5251</v>
      </c>
      <c r="C2099" t="s">
        <v>3420</v>
      </c>
      <c r="D2099">
        <v>1</v>
      </c>
      <c r="H2099">
        <f t="shared" si="32"/>
        <v>0</v>
      </c>
      <c r="L2099" t="s">
        <v>5</v>
      </c>
      <c r="N2099" t="s">
        <v>7</v>
      </c>
      <c r="S2099" t="s">
        <v>12</v>
      </c>
      <c r="X2099" t="s">
        <v>17</v>
      </c>
    </row>
    <row r="2100" spans="1:24" x14ac:dyDescent="0.25">
      <c r="A2100" t="s">
        <v>5251</v>
      </c>
      <c r="C2100" t="s">
        <v>3421</v>
      </c>
      <c r="D2100">
        <v>0</v>
      </c>
      <c r="E2100" t="s">
        <v>3422</v>
      </c>
      <c r="H2100" t="str">
        <f t="shared" si="32"/>
        <v>Activate/deactivate wireframe rendering of what the occlusion system is doing.</v>
      </c>
      <c r="L2100" t="s">
        <v>5</v>
      </c>
    </row>
    <row r="2101" spans="1:24" x14ac:dyDescent="0.25">
      <c r="A2101" t="s">
        <v>5251</v>
      </c>
      <c r="C2101" t="s">
        <v>3423</v>
      </c>
      <c r="D2101">
        <v>0</v>
      </c>
      <c r="H2101">
        <f t="shared" si="32"/>
        <v>0</v>
      </c>
      <c r="L2101" t="s">
        <v>5</v>
      </c>
    </row>
    <row r="2102" spans="1:24" x14ac:dyDescent="0.25">
      <c r="A2102" t="s">
        <v>5251</v>
      </c>
      <c r="C2102" t="s">
        <v>3424</v>
      </c>
      <c r="D2102">
        <v>0</v>
      </c>
      <c r="H2102">
        <f t="shared" si="32"/>
        <v>0</v>
      </c>
      <c r="L2102" t="s">
        <v>5</v>
      </c>
    </row>
    <row r="2103" spans="1:24" x14ac:dyDescent="0.25">
      <c r="A2103" t="s">
        <v>5251</v>
      </c>
      <c r="C2103" t="s">
        <v>3425</v>
      </c>
      <c r="D2103">
        <v>0</v>
      </c>
      <c r="H2103">
        <f t="shared" si="32"/>
        <v>0</v>
      </c>
      <c r="L2103" t="s">
        <v>5</v>
      </c>
    </row>
    <row r="2104" spans="1:24" x14ac:dyDescent="0.25">
      <c r="A2104" t="s">
        <v>5251</v>
      </c>
      <c r="C2104" t="s">
        <v>3426</v>
      </c>
      <c r="D2104">
        <v>1000</v>
      </c>
      <c r="E2104" t="s">
        <v>3427</v>
      </c>
      <c r="H2104" t="str">
        <f t="shared" si="32"/>
        <v>at this distance and beyond you need to be point right at someone to see them</v>
      </c>
      <c r="K2104" t="s">
        <v>4</v>
      </c>
      <c r="L2104" t="s">
        <v>5</v>
      </c>
    </row>
    <row r="2105" spans="1:24" x14ac:dyDescent="0.25">
      <c r="A2105" t="s">
        <v>5251</v>
      </c>
      <c r="C2105" t="s">
        <v>3428</v>
      </c>
      <c r="D2105">
        <v>0</v>
      </c>
      <c r="E2105" t="s">
        <v>3429</v>
      </c>
      <c r="H2105" t="str">
        <f t="shared" si="32"/>
        <v>how closely you have to point at someone to see them beyond max distance</v>
      </c>
      <c r="K2105" t="s">
        <v>4</v>
      </c>
      <c r="L2105" t="s">
        <v>5</v>
      </c>
    </row>
    <row r="2106" spans="1:24" x14ac:dyDescent="0.25">
      <c r="A2106" t="s">
        <v>5251</v>
      </c>
      <c r="C2106" t="s">
        <v>3430</v>
      </c>
      <c r="D2106">
        <v>1</v>
      </c>
      <c r="E2106" t="s">
        <v>3431</v>
      </c>
      <c r="H2106" t="str">
        <f t="shared" si="32"/>
        <v>0 for traditional method, 1 for more realistic method</v>
      </c>
      <c r="K2106" t="s">
        <v>4</v>
      </c>
      <c r="L2106" t="s">
        <v>5</v>
      </c>
    </row>
    <row r="2107" spans="1:24" x14ac:dyDescent="0.25">
      <c r="A2107" t="s">
        <v>5251</v>
      </c>
      <c r="C2107" t="s">
        <v>3432</v>
      </c>
      <c r="D2107">
        <v>0</v>
      </c>
      <c r="E2107" t="s">
        <v>3433</v>
      </c>
      <c r="H2107" t="str">
        <f t="shared" si="32"/>
        <v>the degree to which you can point away from a target, and still see them on radar.</v>
      </c>
      <c r="K2107" t="s">
        <v>4</v>
      </c>
      <c r="L2107" t="s">
        <v>5</v>
      </c>
    </row>
    <row r="2108" spans="1:24" x14ac:dyDescent="0.25">
      <c r="A2108" t="s">
        <v>5251</v>
      </c>
      <c r="B2108" t="s">
        <v>25</v>
      </c>
      <c r="C2108" t="s">
        <v>3434</v>
      </c>
      <c r="D2108" t="s">
        <v>25</v>
      </c>
      <c r="H2108">
        <f t="shared" si="32"/>
        <v>0</v>
      </c>
    </row>
    <row r="2109" spans="1:24" x14ac:dyDescent="0.25">
      <c r="A2109" t="s">
        <v>5251</v>
      </c>
      <c r="B2109" t="s">
        <v>25</v>
      </c>
      <c r="C2109" t="s">
        <v>3435</v>
      </c>
      <c r="D2109" t="s">
        <v>25</v>
      </c>
      <c r="H2109">
        <f t="shared" si="32"/>
        <v>0</v>
      </c>
    </row>
    <row r="2110" spans="1:24" x14ac:dyDescent="0.25">
      <c r="A2110" t="s">
        <v>5251</v>
      </c>
      <c r="B2110" t="s">
        <v>25</v>
      </c>
      <c r="C2110" t="s">
        <v>3436</v>
      </c>
      <c r="D2110" t="s">
        <v>25</v>
      </c>
      <c r="H2110">
        <f t="shared" si="32"/>
        <v>0</v>
      </c>
    </row>
    <row r="2111" spans="1:24" x14ac:dyDescent="0.25">
      <c r="A2111" t="s">
        <v>5251</v>
      </c>
      <c r="B2111" t="s">
        <v>25</v>
      </c>
      <c r="C2111" t="s">
        <v>3437</v>
      </c>
      <c r="D2111" t="s">
        <v>25</v>
      </c>
      <c r="H2111">
        <f t="shared" si="32"/>
        <v>0</v>
      </c>
    </row>
    <row r="2112" spans="1:24" x14ac:dyDescent="0.25">
      <c r="A2112" t="s">
        <v>5251</v>
      </c>
      <c r="B2112" t="s">
        <v>25</v>
      </c>
      <c r="C2112" t="s">
        <v>3438</v>
      </c>
      <c r="D2112" t="s">
        <v>25</v>
      </c>
      <c r="H2112">
        <f t="shared" si="32"/>
        <v>0</v>
      </c>
    </row>
    <row r="2113" spans="1:21" x14ac:dyDescent="0.25">
      <c r="A2113" t="s">
        <v>5251</v>
      </c>
      <c r="B2113" t="s">
        <v>25</v>
      </c>
      <c r="C2113" t="s">
        <v>3439</v>
      </c>
      <c r="D2113" t="s">
        <v>25</v>
      </c>
      <c r="H2113">
        <f t="shared" si="32"/>
        <v>0</v>
      </c>
    </row>
    <row r="2114" spans="1:21" x14ac:dyDescent="0.25">
      <c r="A2114" t="s">
        <v>5253</v>
      </c>
      <c r="C2114" t="s">
        <v>3440</v>
      </c>
      <c r="D2114" t="s">
        <v>25</v>
      </c>
      <c r="E2114" t="s">
        <v>3441</v>
      </c>
      <c r="H2114" t="str">
        <f t="shared" si="32"/>
        <v>Opens a radio menu</v>
      </c>
    </row>
    <row r="2115" spans="1:21" x14ac:dyDescent="0.25">
      <c r="A2115" t="s">
        <v>5253</v>
      </c>
      <c r="C2115" t="s">
        <v>3442</v>
      </c>
      <c r="D2115" t="s">
        <v>25</v>
      </c>
      <c r="E2115" t="s">
        <v>3441</v>
      </c>
      <c r="H2115" t="str">
        <f t="shared" ref="H2115:H2178" si="33">IF(F2115="",E2115, F2115 &amp; " - Original Helptext: " &amp;E2115)</f>
        <v>Opens a radio menu</v>
      </c>
    </row>
    <row r="2116" spans="1:21" x14ac:dyDescent="0.25">
      <c r="A2116" t="s">
        <v>5253</v>
      </c>
      <c r="C2116" t="s">
        <v>3443</v>
      </c>
      <c r="D2116" t="s">
        <v>25</v>
      </c>
      <c r="E2116" t="s">
        <v>3441</v>
      </c>
      <c r="H2116" t="str">
        <f t="shared" si="33"/>
        <v>Opens a radio menu</v>
      </c>
    </row>
    <row r="2117" spans="1:21" x14ac:dyDescent="0.25">
      <c r="A2117" t="s">
        <v>5253</v>
      </c>
      <c r="C2117" t="s">
        <v>3444</v>
      </c>
      <c r="D2117" t="s">
        <v>25</v>
      </c>
      <c r="E2117" t="s">
        <v>3441</v>
      </c>
      <c r="H2117" t="str">
        <f t="shared" si="33"/>
        <v>Opens a radio menu</v>
      </c>
    </row>
    <row r="2118" spans="1:21" x14ac:dyDescent="0.25">
      <c r="A2118" t="s">
        <v>5251</v>
      </c>
      <c r="C2118" t="s">
        <v>3445</v>
      </c>
      <c r="D2118" t="s">
        <v>25</v>
      </c>
      <c r="E2118" t="s">
        <v>3445</v>
      </c>
      <c r="H2118" t="str">
        <f t="shared" si="33"/>
        <v>rangefinder</v>
      </c>
    </row>
    <row r="2119" spans="1:21" x14ac:dyDescent="0.25">
      <c r="A2119" t="s">
        <v>5251</v>
      </c>
      <c r="C2119" t="s">
        <v>3446</v>
      </c>
      <c r="D2119">
        <v>196608</v>
      </c>
      <c r="E2119" t="s">
        <v>3447</v>
      </c>
      <c r="H2119" t="str">
        <f t="shared" si="33"/>
        <v>Max bytes/sec the host can receive data</v>
      </c>
      <c r="I2119" t="s">
        <v>2</v>
      </c>
      <c r="M2119" t="s">
        <v>6</v>
      </c>
    </row>
    <row r="2120" spans="1:21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  <c r="H2120" t="str">
        <f t="shared" si="33"/>
        <v>Issue an rcon command.</v>
      </c>
    </row>
    <row r="2121" spans="1:21" x14ac:dyDescent="0.25">
      <c r="A2121" t="s">
        <v>5253</v>
      </c>
      <c r="C2121" t="s">
        <v>3450</v>
      </c>
      <c r="D2121">
        <v>0</v>
      </c>
      <c r="E2121" t="s">
        <v>3451</v>
      </c>
      <c r="H2121" t="str">
        <f t="shared" si="33"/>
        <v xml:space="preserve">Address of remote server if sending unconnected rcon commands (format x.x.x.x:p) </v>
      </c>
      <c r="U2121" t="s">
        <v>14</v>
      </c>
    </row>
    <row r="2122" spans="1:21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H2122" t="str">
        <f t="shared" si="33"/>
        <v>Allow clients to use rcon commands on server.</v>
      </c>
      <c r="S2122" t="s">
        <v>12</v>
      </c>
    </row>
    <row r="2123" spans="1:21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H2123" t="str">
        <f t="shared" si="33"/>
        <v>remote console password.</v>
      </c>
      <c r="U2123" t="s">
        <v>14</v>
      </c>
    </row>
    <row r="2124" spans="1:21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  <c r="H2124" t="str">
        <f t="shared" si="33"/>
        <v>Attempt to repurchase items with the order listed in cl_rebuy</v>
      </c>
    </row>
    <row r="2125" spans="1:21" x14ac:dyDescent="0.25">
      <c r="A2125" t="s">
        <v>5251</v>
      </c>
      <c r="C2125" t="s">
        <v>3458</v>
      </c>
      <c r="D2125" t="s">
        <v>25</v>
      </c>
      <c r="E2125" t="s">
        <v>3459</v>
      </c>
      <c r="H2125" t="str">
        <f t="shared" si="33"/>
        <v>Recomputes clock speed (for debugging purposes).</v>
      </c>
    </row>
    <row r="2126" spans="1:21" x14ac:dyDescent="0.25">
      <c r="A2126" t="s">
        <v>5251</v>
      </c>
      <c r="C2126" t="s">
        <v>3460</v>
      </c>
      <c r="D2126" t="s">
        <v>25</v>
      </c>
      <c r="E2126" t="s">
        <v>3461</v>
      </c>
      <c r="H2126" t="str">
        <f t="shared" si="33"/>
        <v>Record a demo.</v>
      </c>
    </row>
    <row r="2127" spans="1:21" x14ac:dyDescent="0.25">
      <c r="A2127" t="s">
        <v>5251</v>
      </c>
      <c r="C2127" t="s">
        <v>3462</v>
      </c>
      <c r="D2127" t="s">
        <v>25</v>
      </c>
      <c r="E2127" t="s">
        <v>3463</v>
      </c>
      <c r="H2127" t="str">
        <f t="shared" si="33"/>
        <v>Reload the most recent saved game (add setpos to jump to current view position on reload).</v>
      </c>
    </row>
    <row r="2128" spans="1:21" x14ac:dyDescent="0.25">
      <c r="A2128" t="s">
        <v>5251</v>
      </c>
      <c r="B2128" t="s">
        <v>25</v>
      </c>
      <c r="C2128" t="s">
        <v>3464</v>
      </c>
      <c r="D2128" t="s">
        <v>25</v>
      </c>
      <c r="H2128">
        <f t="shared" si="33"/>
        <v>0</v>
      </c>
    </row>
    <row r="2129" spans="1:24" x14ac:dyDescent="0.25">
      <c r="A2129" t="s">
        <v>5251</v>
      </c>
      <c r="B2129" t="s">
        <v>25</v>
      </c>
      <c r="C2129" t="s">
        <v>3465</v>
      </c>
      <c r="D2129" t="s">
        <v>25</v>
      </c>
      <c r="H2129">
        <f t="shared" si="33"/>
        <v>0</v>
      </c>
    </row>
    <row r="2130" spans="1:24" x14ac:dyDescent="0.25">
      <c r="A2130" t="s">
        <v>5251</v>
      </c>
      <c r="C2130" t="s">
        <v>3466</v>
      </c>
      <c r="D2130" t="s">
        <v>25</v>
      </c>
      <c r="H2130">
        <f t="shared" si="33"/>
        <v>0</v>
      </c>
    </row>
    <row r="2131" spans="1:24" x14ac:dyDescent="0.25">
      <c r="A2131" t="s">
        <v>5251</v>
      </c>
      <c r="C2131" t="s">
        <v>3467</v>
      </c>
      <c r="D2131" t="s">
        <v>25</v>
      </c>
      <c r="E2131" t="s">
        <v>3468</v>
      </c>
      <c r="H2131" t="str">
        <f t="shared" si="33"/>
        <v>reload vjobs module</v>
      </c>
    </row>
    <row r="2132" spans="1:24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  <c r="H2132" t="str">
        <f t="shared" si="33"/>
        <v>Remove all user IDs from the ban list.</v>
      </c>
    </row>
    <row r="2133" spans="1:24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  <c r="H2133" t="str">
        <f t="shared" si="33"/>
        <v>Remove a user ID from the ban list.</v>
      </c>
    </row>
    <row r="2134" spans="1:24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  <c r="H2134" t="str">
        <f t="shared" si="33"/>
        <v>Remove an IP address from the ban list.</v>
      </c>
    </row>
    <row r="2135" spans="1:24" x14ac:dyDescent="0.25">
      <c r="A2135" t="s">
        <v>5251</v>
      </c>
      <c r="C2135" t="s">
        <v>3475</v>
      </c>
      <c r="D2135" t="s">
        <v>25</v>
      </c>
      <c r="E2135" t="s">
        <v>3476</v>
      </c>
      <c r="H2135" t="str">
        <f t="shared" si="33"/>
        <v>render N blank frames</v>
      </c>
    </row>
    <row r="2136" spans="1:24" x14ac:dyDescent="0.25">
      <c r="A2136" t="s">
        <v>5251</v>
      </c>
      <c r="C2136" t="s">
        <v>3477</v>
      </c>
      <c r="D2136" t="s">
        <v>25</v>
      </c>
      <c r="E2136" t="s">
        <v>3478</v>
      </c>
      <c r="H2136" t="str">
        <f t="shared" si="33"/>
        <v>start hltv replay of last death</v>
      </c>
    </row>
    <row r="2137" spans="1:24" x14ac:dyDescent="0.25">
      <c r="A2137" t="s">
        <v>5251</v>
      </c>
      <c r="C2137" t="s">
        <v>3479</v>
      </c>
      <c r="D2137">
        <v>0</v>
      </c>
      <c r="H2137">
        <f t="shared" si="33"/>
        <v>0</v>
      </c>
      <c r="S2137" t="s">
        <v>12</v>
      </c>
    </row>
    <row r="2138" spans="1:24" x14ac:dyDescent="0.25">
      <c r="A2138" t="s">
        <v>5251</v>
      </c>
      <c r="C2138" t="s">
        <v>3480</v>
      </c>
      <c r="D2138" t="s">
        <v>25</v>
      </c>
      <c r="E2138" t="s">
        <v>3481</v>
      </c>
      <c r="H2138" t="str">
        <f t="shared" si="33"/>
        <v>Start GOTV replay: replay_start &lt;delay&gt; [&lt;player name or index&gt;]</v>
      </c>
    </row>
    <row r="2139" spans="1:24" x14ac:dyDescent="0.25">
      <c r="A2139" t="s">
        <v>5251</v>
      </c>
      <c r="C2139" t="s">
        <v>3482</v>
      </c>
      <c r="D2139" t="s">
        <v>25</v>
      </c>
      <c r="E2139" t="s">
        <v>3483</v>
      </c>
      <c r="H2139" t="str">
        <f t="shared" si="33"/>
        <v>stop hltv replay</v>
      </c>
    </row>
    <row r="2140" spans="1:24" x14ac:dyDescent="0.25">
      <c r="A2140" t="s">
        <v>5251</v>
      </c>
      <c r="C2140" t="s">
        <v>3484</v>
      </c>
      <c r="D2140">
        <v>0</v>
      </c>
      <c r="E2140" t="s">
        <v>3485</v>
      </c>
      <c r="H2140" t="str">
        <f t="shared" si="33"/>
        <v>List all clientside simulations and time - will report and turn itself off.</v>
      </c>
      <c r="L2140" t="s">
        <v>5</v>
      </c>
      <c r="X2140" t="s">
        <v>17</v>
      </c>
    </row>
    <row r="2141" spans="1:24" x14ac:dyDescent="0.25">
      <c r="A2141" t="s">
        <v>5251</v>
      </c>
      <c r="C2141" t="s">
        <v>3486</v>
      </c>
      <c r="D2141">
        <v>0</v>
      </c>
      <c r="E2141" t="s">
        <v>3487</v>
      </c>
      <c r="H2141" t="str">
        <f t="shared" si="33"/>
        <v>List all clientside entities thinking and time - will report and turn itself off.</v>
      </c>
      <c r="L2141" t="s">
        <v>5</v>
      </c>
      <c r="X2141" t="s">
        <v>17</v>
      </c>
    </row>
    <row r="2142" spans="1:24" x14ac:dyDescent="0.25">
      <c r="A2142" t="s">
        <v>5251</v>
      </c>
      <c r="C2142" t="s">
        <v>3488</v>
      </c>
      <c r="D2142" t="s">
        <v>25</v>
      </c>
      <c r="E2142" t="s">
        <v>3489</v>
      </c>
      <c r="H2142" t="str">
        <f t="shared" si="33"/>
        <v>Lists all entities</v>
      </c>
    </row>
    <row r="2143" spans="1:24" x14ac:dyDescent="0.25">
      <c r="A2143" t="s">
        <v>5251</v>
      </c>
      <c r="C2143" t="s">
        <v>3490</v>
      </c>
      <c r="D2143" t="s">
        <v>25</v>
      </c>
      <c r="E2143" t="s">
        <v>3491</v>
      </c>
      <c r="H2143" t="str">
        <f t="shared" si="33"/>
        <v>Lists all simulating/thinking entities</v>
      </c>
    </row>
    <row r="2144" spans="1:24" x14ac:dyDescent="0.25">
      <c r="A2144" t="s">
        <v>5251</v>
      </c>
      <c r="C2144" t="s">
        <v>3492</v>
      </c>
      <c r="D2144" t="s">
        <v>25</v>
      </c>
      <c r="E2144" t="s">
        <v>3493</v>
      </c>
      <c r="H2144" t="str">
        <f t="shared" si="33"/>
        <v>reports sound patch count</v>
      </c>
    </row>
    <row r="2145" spans="1:12" x14ac:dyDescent="0.25">
      <c r="A2145" t="s">
        <v>5251</v>
      </c>
      <c r="C2145" t="s">
        <v>3494</v>
      </c>
      <c r="D2145" t="s">
        <v>25</v>
      </c>
      <c r="E2145" t="s">
        <v>3495</v>
      </c>
      <c r="H2145" t="str">
        <f t="shared" si="33"/>
        <v>Lists all touchlinks</v>
      </c>
    </row>
    <row r="2146" spans="1:12" x14ac:dyDescent="0.25">
      <c r="A2146" t="s">
        <v>5251</v>
      </c>
      <c r="C2146" t="s">
        <v>3496</v>
      </c>
      <c r="D2146" t="s">
        <v>25</v>
      </c>
      <c r="E2146" t="s">
        <v>3497</v>
      </c>
      <c r="H2146" t="str">
        <f t="shared" si="33"/>
        <v>Reset player scores, player controls, team scores, and end the round</v>
      </c>
    </row>
    <row r="2147" spans="1:12" x14ac:dyDescent="0.25">
      <c r="A2147" t="s">
        <v>5251</v>
      </c>
      <c r="C2147" t="s">
        <v>3498</v>
      </c>
      <c r="D2147" t="s">
        <v>25</v>
      </c>
      <c r="E2147" t="s">
        <v>3499</v>
      </c>
      <c r="H2147" t="str">
        <f t="shared" si="33"/>
        <v>Reset a bunch of game convars to default values</v>
      </c>
    </row>
    <row r="2148" spans="1:12" x14ac:dyDescent="0.25">
      <c r="A2148" t="s">
        <v>5251</v>
      </c>
      <c r="C2148" t="s">
        <v>3500</v>
      </c>
      <c r="D2148" t="s">
        <v>25</v>
      </c>
      <c r="E2148" t="s">
        <v>3501</v>
      </c>
      <c r="H2148" t="str">
        <f t="shared" si="33"/>
        <v>Respawn all the entities in the map.</v>
      </c>
    </row>
    <row r="2149" spans="1:12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  <c r="H2149" t="str">
        <f t="shared" si="33"/>
        <v>Restart the game on the same level (add setpos to jump to current view position on restart).</v>
      </c>
    </row>
    <row r="2150" spans="1:12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  <c r="H2150" t="str">
        <f t="shared" si="33"/>
        <v>Retry connection to last server.</v>
      </c>
    </row>
    <row r="2151" spans="1:12" x14ac:dyDescent="0.25">
      <c r="A2151" t="s">
        <v>5251</v>
      </c>
      <c r="B2151" t="s">
        <v>25</v>
      </c>
      <c r="C2151" t="s">
        <v>3506</v>
      </c>
      <c r="D2151" t="s">
        <v>25</v>
      </c>
      <c r="H2151">
        <f t="shared" si="33"/>
        <v>0</v>
      </c>
    </row>
    <row r="2152" spans="1:12" x14ac:dyDescent="0.25">
      <c r="A2152" t="s">
        <v>5251</v>
      </c>
      <c r="B2152" t="s">
        <v>25</v>
      </c>
      <c r="C2152" t="s">
        <v>3507</v>
      </c>
      <c r="D2152" t="s">
        <v>25</v>
      </c>
      <c r="H2152">
        <f t="shared" si="33"/>
        <v>0</v>
      </c>
    </row>
    <row r="2153" spans="1:12" x14ac:dyDescent="0.25">
      <c r="A2153" t="s">
        <v>5251</v>
      </c>
      <c r="C2153" t="s">
        <v>3508</v>
      </c>
      <c r="D2153">
        <v>2</v>
      </c>
      <c r="H2153">
        <f t="shared" si="33"/>
        <v>0</v>
      </c>
      <c r="L2153" t="s">
        <v>5</v>
      </c>
    </row>
    <row r="2154" spans="1:12" x14ac:dyDescent="0.25">
      <c r="A2154" t="s">
        <v>5251</v>
      </c>
      <c r="C2154" t="s">
        <v>3509</v>
      </c>
      <c r="D2154">
        <v>1800</v>
      </c>
      <c r="E2154" t="s">
        <v>3510</v>
      </c>
      <c r="H2154" t="str">
        <f t="shared" si="33"/>
        <v>'then ANY' or 'then ALL' response followups will be dispatched only to characters within this distance.</v>
      </c>
      <c r="K2154" t="s">
        <v>4</v>
      </c>
      <c r="L2154" t="s">
        <v>5</v>
      </c>
    </row>
    <row r="2155" spans="1:12" x14ac:dyDescent="0.25">
      <c r="A2155" t="s">
        <v>5251</v>
      </c>
      <c r="C2155" t="s">
        <v>3511</v>
      </c>
      <c r="D2155" t="s">
        <v>25</v>
      </c>
      <c r="E2155" t="s">
        <v>5227</v>
      </c>
      <c r="H2155" t="str">
        <f t="shared" si="33"/>
        <v>fire a response concept directly at a given character. USAGE: rr_forceconcept &lt;target&gt; &lt;concept&gt; 'criteria1:value1,criteria2:va</v>
      </c>
    </row>
    <row r="2156" spans="1:12" x14ac:dyDescent="0.25">
      <c r="A2156" t="s">
        <v>5251</v>
      </c>
      <c r="C2156" t="s">
        <v>3512</v>
      </c>
      <c r="D2156" t="s">
        <v>25</v>
      </c>
      <c r="E2156" t="s">
        <v>3513</v>
      </c>
      <c r="H2156" t="str">
        <f t="shared" si="33"/>
        <v>Reload all response system scripts.</v>
      </c>
    </row>
    <row r="2157" spans="1:12" x14ac:dyDescent="0.25">
      <c r="A2157" t="s">
        <v>5251</v>
      </c>
      <c r="C2157" t="s">
        <v>3514</v>
      </c>
      <c r="D2157">
        <v>1200</v>
      </c>
      <c r="E2157" t="s">
        <v>3515</v>
      </c>
      <c r="H2157" t="str">
        <f t="shared" si="33"/>
        <v>AIs will not even consider remarkarbles that are more than this many units away.</v>
      </c>
      <c r="K2157" t="s">
        <v>4</v>
      </c>
      <c r="L2157" t="s">
        <v>5</v>
      </c>
    </row>
    <row r="2158" spans="1:12" x14ac:dyDescent="0.25">
      <c r="A2158" t="s">
        <v>5251</v>
      </c>
      <c r="C2158" t="s">
        <v>3516</v>
      </c>
      <c r="D2158">
        <v>1</v>
      </c>
      <c r="E2158" t="s">
        <v>3517</v>
      </c>
      <c r="H2158" t="str">
        <f t="shared" si="33"/>
        <v>TLK_REMARKs will be dispatched no more than this many times for any given info_remarkable</v>
      </c>
      <c r="K2158" t="s">
        <v>4</v>
      </c>
      <c r="L2158" t="s">
        <v>5</v>
      </c>
    </row>
    <row r="2159" spans="1:12" x14ac:dyDescent="0.25">
      <c r="A2159" t="s">
        <v>5251</v>
      </c>
      <c r="C2159" t="s">
        <v>3518</v>
      </c>
      <c r="D2159">
        <v>1</v>
      </c>
      <c r="E2159" t="s">
        <v>3519</v>
      </c>
      <c r="H2159" t="str">
        <f t="shared" si="33"/>
        <v>If 1, polling for info_remarkables and issuances of TLK_REMARK is enabled.</v>
      </c>
      <c r="K2159" t="s">
        <v>4</v>
      </c>
      <c r="L2159" t="s">
        <v>5</v>
      </c>
    </row>
    <row r="2160" spans="1:12" x14ac:dyDescent="0.25">
      <c r="A2160" t="s">
        <v>5251</v>
      </c>
      <c r="C2160" t="s">
        <v>3520</v>
      </c>
      <c r="D2160">
        <v>0</v>
      </c>
      <c r="E2160" t="s">
        <v>3521</v>
      </c>
      <c r="H2160" t="str">
        <f t="shared" si="33"/>
        <v>When computing respondents for a 'THEN ANY' rule, all rule-matching scores within this much of the best score will be considere</v>
      </c>
      <c r="K2160" t="s">
        <v>4</v>
      </c>
      <c r="L2160" t="s">
        <v>5</v>
      </c>
    </row>
    <row r="2161" spans="1:25" x14ac:dyDescent="0.25">
      <c r="A2161" t="s">
        <v>5251</v>
      </c>
      <c r="C2161" t="s">
        <v>3522</v>
      </c>
      <c r="D2161">
        <v>1</v>
      </c>
      <c r="E2161" t="s">
        <v>3523</v>
      </c>
      <c r="H2161" t="str">
        <f t="shared" si="33"/>
        <v>The percentage of the screen width that is considered safe from overscan</v>
      </c>
      <c r="I2161" t="s">
        <v>2</v>
      </c>
      <c r="X2161" t="s">
        <v>17</v>
      </c>
    </row>
    <row r="2162" spans="1:25" x14ac:dyDescent="0.25">
      <c r="A2162" t="s">
        <v>5251</v>
      </c>
      <c r="C2162" t="s">
        <v>3524</v>
      </c>
      <c r="D2162">
        <v>1</v>
      </c>
      <c r="E2162" t="s">
        <v>3525</v>
      </c>
      <c r="H2162" t="str">
        <f t="shared" si="33"/>
        <v>The percentage of the screen height that is considered safe from overscan</v>
      </c>
      <c r="I2162" t="s">
        <v>2</v>
      </c>
      <c r="X2162" t="s">
        <v>17</v>
      </c>
    </row>
    <row r="2163" spans="1:25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  <c r="H2163" t="str">
        <f t="shared" si="33"/>
        <v>Saves current game.</v>
      </c>
    </row>
    <row r="2164" spans="1:25" x14ac:dyDescent="0.25">
      <c r="A2164" t="s">
        <v>5251</v>
      </c>
      <c r="C2164" t="s">
        <v>3528</v>
      </c>
      <c r="D2164" t="s">
        <v>25</v>
      </c>
      <c r="H2164">
        <f t="shared" si="33"/>
        <v>0</v>
      </c>
    </row>
    <row r="2165" spans="1:25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  <c r="H2165" t="str">
        <f t="shared" si="33"/>
        <v>Display player message</v>
      </c>
    </row>
    <row r="2166" spans="1:25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  <c r="H2166" t="str">
        <f t="shared" si="33"/>
        <v>Display player message to team</v>
      </c>
    </row>
    <row r="2167" spans="1:25" x14ac:dyDescent="0.25">
      <c r="A2167" t="s">
        <v>5251</v>
      </c>
      <c r="C2167" t="s">
        <v>3533</v>
      </c>
      <c r="D2167">
        <v>1</v>
      </c>
      <c r="E2167" t="s">
        <v>3534</v>
      </c>
      <c r="H2167" t="str">
        <f t="shared" si="33"/>
        <v>Enable SteamController</v>
      </c>
      <c r="I2167" t="s">
        <v>2</v>
      </c>
      <c r="X2167" t="s">
        <v>17</v>
      </c>
      <c r="Y2167" t="s">
        <v>18</v>
      </c>
    </row>
    <row r="2168" spans="1:25" x14ac:dyDescent="0.25">
      <c r="A2168" t="s">
        <v>5251</v>
      </c>
      <c r="C2168" t="s">
        <v>3535</v>
      </c>
      <c r="D2168">
        <v>1</v>
      </c>
      <c r="E2168" t="s">
        <v>3536</v>
      </c>
      <c r="H2168" t="str">
        <f t="shared" si="33"/>
        <v>How to map the analog joystick deadzone and extents 0 = Scaled Cross, 1 = Concentric Mapping to Square.</v>
      </c>
      <c r="I2168" t="s">
        <v>2</v>
      </c>
    </row>
    <row r="2169" spans="1:25" x14ac:dyDescent="0.25">
      <c r="A2169" t="s">
        <v>5251</v>
      </c>
      <c r="C2169" t="s">
        <v>3537</v>
      </c>
      <c r="D2169">
        <v>1</v>
      </c>
      <c r="E2169" t="s">
        <v>3538</v>
      </c>
      <c r="H2169" t="str">
        <f t="shared" si="33"/>
        <v>SteamController pitch factor.</v>
      </c>
      <c r="I2169" t="s">
        <v>2</v>
      </c>
      <c r="X2169" t="s">
        <v>17</v>
      </c>
      <c r="Y2169" t="s">
        <v>18</v>
      </c>
    </row>
    <row r="2170" spans="1:25" x14ac:dyDescent="0.25">
      <c r="A2170" t="s">
        <v>5251</v>
      </c>
      <c r="C2170" t="s">
        <v>3539</v>
      </c>
      <c r="D2170">
        <v>1</v>
      </c>
      <c r="E2170" t="s">
        <v>3540</v>
      </c>
      <c r="H2170" t="str">
        <f t="shared" si="33"/>
        <v>SteamController yaw factor.</v>
      </c>
      <c r="I2170" t="s">
        <v>2</v>
      </c>
      <c r="X2170" t="s">
        <v>17</v>
      </c>
      <c r="Y2170" t="s">
        <v>18</v>
      </c>
    </row>
    <row r="2171" spans="1:25" x14ac:dyDescent="0.25">
      <c r="A2171" t="s">
        <v>5251</v>
      </c>
      <c r="C2171" t="s">
        <v>3541</v>
      </c>
      <c r="D2171" t="s">
        <v>25</v>
      </c>
      <c r="E2171" t="s">
        <v>3542</v>
      </c>
      <c r="H2171" t="str">
        <f t="shared" si="33"/>
        <v>Scan a recorded demo file (.dem ) for specific game events and dump data.</v>
      </c>
    </row>
    <row r="2172" spans="1:25" x14ac:dyDescent="0.25">
      <c r="A2172" t="s">
        <v>5251</v>
      </c>
      <c r="C2172" t="s">
        <v>3543</v>
      </c>
      <c r="D2172" t="s">
        <v>25</v>
      </c>
      <c r="E2172" t="s">
        <v>3544</v>
      </c>
      <c r="H2172" t="str">
        <f t="shared" si="33"/>
        <v>Flush all .vcds from the cache and reload from disk.</v>
      </c>
    </row>
    <row r="2173" spans="1:25" x14ac:dyDescent="0.25">
      <c r="A2173" t="s">
        <v>5251</v>
      </c>
      <c r="C2173" t="s">
        <v>3545</v>
      </c>
      <c r="D2173" t="s">
        <v>25</v>
      </c>
      <c r="E2173" t="s">
        <v>3546</v>
      </c>
      <c r="H2173" t="str">
        <f t="shared" si="33"/>
        <v>Play the given VCD as an instanced scripted scene.</v>
      </c>
    </row>
    <row r="2174" spans="1:25" x14ac:dyDescent="0.25">
      <c r="A2174" t="s">
        <v>5251</v>
      </c>
      <c r="C2174" t="s">
        <v>3547</v>
      </c>
      <c r="D2174">
        <v>0</v>
      </c>
      <c r="E2174" t="s">
        <v>3548</v>
      </c>
      <c r="H2174" t="str">
        <f t="shared" si="33"/>
        <v>When playing back, show the directions of faceto events.</v>
      </c>
      <c r="I2174" t="s">
        <v>2</v>
      </c>
      <c r="K2174" t="s">
        <v>4</v>
      </c>
    </row>
    <row r="2175" spans="1:25" x14ac:dyDescent="0.25">
      <c r="A2175" t="s">
        <v>5251</v>
      </c>
      <c r="C2175" t="s">
        <v>3549</v>
      </c>
      <c r="D2175">
        <v>0</v>
      </c>
      <c r="E2175" t="s">
        <v>3550</v>
      </c>
      <c r="H2175" t="str">
        <f t="shared" si="33"/>
        <v>When playing back, show the directions of look events.</v>
      </c>
      <c r="I2175" t="s">
        <v>2</v>
      </c>
      <c r="K2175" t="s">
        <v>4</v>
      </c>
    </row>
    <row r="2176" spans="1:25" x14ac:dyDescent="0.25">
      <c r="A2176" t="s">
        <v>5251</v>
      </c>
      <c r="C2176" t="s">
        <v>3551</v>
      </c>
      <c r="D2176">
        <v>0</v>
      </c>
      <c r="E2176" t="s">
        <v>3552</v>
      </c>
      <c r="H2176" t="str">
        <f t="shared" si="33"/>
        <v>When moving, show the end location.</v>
      </c>
      <c r="I2176" t="s">
        <v>2</v>
      </c>
      <c r="K2176" t="s">
        <v>4</v>
      </c>
    </row>
    <row r="2177" spans="1:11" x14ac:dyDescent="0.25">
      <c r="A2177" t="s">
        <v>5251</v>
      </c>
      <c r="C2177" t="s">
        <v>3553</v>
      </c>
      <c r="D2177">
        <v>0</v>
      </c>
      <c r="E2177" t="s">
        <v>3554</v>
      </c>
      <c r="H2177" t="str">
        <f t="shared" si="33"/>
        <v>Show when a vcd is playing but normal AI is running.</v>
      </c>
      <c r="I2177" t="s">
        <v>2</v>
      </c>
      <c r="K2177" t="s">
        <v>4</v>
      </c>
    </row>
    <row r="2178" spans="1:11" x14ac:dyDescent="0.25">
      <c r="A2178" t="s">
        <v>5251</v>
      </c>
      <c r="B2178" t="s">
        <v>25</v>
      </c>
      <c r="C2178" t="s">
        <v>3555</v>
      </c>
      <c r="D2178" t="s">
        <v>25</v>
      </c>
      <c r="H2178">
        <f t="shared" si="33"/>
        <v>0</v>
      </c>
    </row>
    <row r="2179" spans="1:11" x14ac:dyDescent="0.25">
      <c r="A2179" t="s">
        <v>5251</v>
      </c>
      <c r="B2179" t="s">
        <v>25</v>
      </c>
      <c r="C2179" t="s">
        <v>3556</v>
      </c>
      <c r="D2179" t="s">
        <v>25</v>
      </c>
      <c r="H2179">
        <f t="shared" ref="H2179:H2242" si="34">IF(F2179="",E2179, F2179 &amp; " - Original Helptext: " &amp;E2179)</f>
        <v>0</v>
      </c>
    </row>
    <row r="2180" spans="1:11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  <c r="H2180" t="str">
        <f t="shared" si="34"/>
        <v>Take a screenshot.</v>
      </c>
    </row>
    <row r="2181" spans="1:11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  <c r="H2181" t="str">
        <f t="shared" si="34"/>
        <v>Run the text as a script</v>
      </c>
    </row>
    <row r="2182" spans="1:11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  <c r="H2182" t="str">
        <f t="shared" si="34"/>
        <v>Run the text as a script</v>
      </c>
    </row>
    <row r="2183" spans="1:11" x14ac:dyDescent="0.25">
      <c r="A2183" t="s">
        <v>5251</v>
      </c>
      <c r="C2183" t="s">
        <v>3562</v>
      </c>
      <c r="D2183" t="s">
        <v>25</v>
      </c>
      <c r="E2183" t="s">
        <v>3563</v>
      </c>
      <c r="H2183" t="str">
        <f t="shared" si="34"/>
        <v>Connect the vscript VM to the script debugger</v>
      </c>
    </row>
    <row r="2184" spans="1:11" x14ac:dyDescent="0.25">
      <c r="A2184" t="s">
        <v>5251</v>
      </c>
      <c r="C2184" t="s">
        <v>3564</v>
      </c>
      <c r="D2184" t="s">
        <v>25</v>
      </c>
      <c r="E2184" t="s">
        <v>3563</v>
      </c>
      <c r="H2184" t="str">
        <f t="shared" si="34"/>
        <v>Connect the vscript VM to the script debugger</v>
      </c>
    </row>
    <row r="2185" spans="1:11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  <c r="H2185" t="str">
        <f t="shared" si="34"/>
        <v>Dump the state of the VM to the console</v>
      </c>
    </row>
    <row r="2186" spans="1:11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  <c r="H2186" t="str">
        <f t="shared" si="34"/>
        <v>Dump the state of the VM to the console</v>
      </c>
    </row>
    <row r="2187" spans="1:11" x14ac:dyDescent="0.25">
      <c r="A2187" t="s">
        <v>5251</v>
      </c>
      <c r="C2187" t="s">
        <v>3568</v>
      </c>
      <c r="D2187" t="s">
        <v>25</v>
      </c>
      <c r="E2187" t="s">
        <v>3569</v>
      </c>
      <c r="H2187" t="str">
        <f t="shared" si="34"/>
        <v>Run a vscript file</v>
      </c>
    </row>
    <row r="2188" spans="1:11" x14ac:dyDescent="0.25">
      <c r="A2188" t="s">
        <v>5251</v>
      </c>
      <c r="C2188" t="s">
        <v>3570</v>
      </c>
      <c r="D2188" t="s">
        <v>25</v>
      </c>
      <c r="E2188" t="s">
        <v>3569</v>
      </c>
      <c r="H2188" t="str">
        <f t="shared" si="34"/>
        <v>Run a vscript file</v>
      </c>
    </row>
    <row r="2189" spans="1:11" x14ac:dyDescent="0.25">
      <c r="A2189" t="s">
        <v>5251</v>
      </c>
      <c r="C2189" t="s">
        <v>3571</v>
      </c>
      <c r="D2189" t="s">
        <v>25</v>
      </c>
      <c r="E2189" t="s">
        <v>3572</v>
      </c>
      <c r="H2189" t="str">
        <f t="shared" si="34"/>
        <v>Output help for script functions, optionally with a search string</v>
      </c>
    </row>
    <row r="2190" spans="1:11" x14ac:dyDescent="0.25">
      <c r="A2190" t="s">
        <v>5251</v>
      </c>
      <c r="C2190" t="s">
        <v>3573</v>
      </c>
      <c r="D2190" t="s">
        <v>25</v>
      </c>
      <c r="E2190" t="s">
        <v>3572</v>
      </c>
      <c r="H2190" t="str">
        <f t="shared" si="34"/>
        <v>Output help for script functions, optionally with a search string</v>
      </c>
    </row>
    <row r="2191" spans="1:11" x14ac:dyDescent="0.25">
      <c r="A2191" t="s">
        <v>5251</v>
      </c>
      <c r="C2191" t="s">
        <v>3574</v>
      </c>
      <c r="D2191" t="s">
        <v>25</v>
      </c>
      <c r="E2191" t="s">
        <v>3575</v>
      </c>
      <c r="H2191" t="str">
        <f t="shared" si="34"/>
        <v>Execute a vscript file, replacing existing functions with the functions in the run script</v>
      </c>
    </row>
    <row r="2192" spans="1:11" x14ac:dyDescent="0.25">
      <c r="A2192" t="s">
        <v>5251</v>
      </c>
      <c r="C2192" t="s">
        <v>3576</v>
      </c>
      <c r="D2192" t="s">
        <v>25</v>
      </c>
      <c r="E2192" t="s">
        <v>3577</v>
      </c>
      <c r="H2192" t="str">
        <f t="shared" si="34"/>
        <v>Execute all of this entity's VScripts, replacing existing functions with the functions in the run scripts</v>
      </c>
    </row>
    <row r="2193" spans="1:24" x14ac:dyDescent="0.25">
      <c r="A2193" t="s">
        <v>5251</v>
      </c>
      <c r="C2193" t="s">
        <v>3578</v>
      </c>
      <c r="D2193" t="s">
        <v>25</v>
      </c>
      <c r="E2193" t="s">
        <v>3579</v>
      </c>
      <c r="H2193" t="str">
        <f t="shared" si="34"/>
        <v>Execute an activation script, replacing existing functions with the functions in the run script</v>
      </c>
    </row>
    <row r="2194" spans="1:24" x14ac:dyDescent="0.25">
      <c r="A2194" t="s">
        <v>5251</v>
      </c>
      <c r="C2194" t="s">
        <v>3580</v>
      </c>
      <c r="D2194">
        <v>5</v>
      </c>
      <c r="E2194" t="s">
        <v>3581</v>
      </c>
      <c r="H2194" t="str">
        <f t="shared" si="34"/>
        <v>verbosity level for SteamNetSockets spew</v>
      </c>
    </row>
    <row r="2195" spans="1:24" x14ac:dyDescent="0.25">
      <c r="A2195" t="s">
        <v>5253</v>
      </c>
      <c r="C2195" t="s">
        <v>3582</v>
      </c>
      <c r="D2195">
        <v>2</v>
      </c>
      <c r="E2195" t="s">
        <v>3583</v>
      </c>
      <c r="H2195" t="str">
        <f t="shared" si="34"/>
        <v>Mouse sensitivity.</v>
      </c>
      <c r="I2195" t="s">
        <v>2</v>
      </c>
      <c r="X2195" t="s">
        <v>17</v>
      </c>
    </row>
    <row r="2196" spans="1:24" x14ac:dyDescent="0.25">
      <c r="A2196" t="s">
        <v>5253</v>
      </c>
      <c r="C2196" t="s">
        <v>3584</v>
      </c>
      <c r="D2196" t="s">
        <v>25</v>
      </c>
      <c r="E2196" t="s">
        <v>3585</v>
      </c>
      <c r="H2196" t="str">
        <f t="shared" si="34"/>
        <v>Gives the game time in seconds (server's curtime)</v>
      </c>
    </row>
    <row r="2197" spans="1:24" x14ac:dyDescent="0.25">
      <c r="A2197" t="s">
        <v>5252</v>
      </c>
      <c r="C2197" t="s">
        <v>3586</v>
      </c>
      <c r="D2197">
        <v>0</v>
      </c>
      <c r="H2197">
        <f t="shared" si="34"/>
        <v>0</v>
      </c>
      <c r="K2197" t="s">
        <v>4</v>
      </c>
    </row>
    <row r="2198" spans="1:24" x14ac:dyDescent="0.25">
      <c r="A2198" t="s">
        <v>5251</v>
      </c>
      <c r="C2198" t="s">
        <v>3587</v>
      </c>
      <c r="D2198" t="s">
        <v>25</v>
      </c>
      <c r="E2198" t="s">
        <v>3588</v>
      </c>
      <c r="H2198" t="str">
        <f t="shared" si="34"/>
        <v>Snap player eyes to specified pitch yaw &lt;roll:optional&gt; (must have sv_cheats).</v>
      </c>
    </row>
    <row r="2199" spans="1:24" x14ac:dyDescent="0.25">
      <c r="A2199" t="s">
        <v>5251</v>
      </c>
      <c r="C2199" t="s">
        <v>3589</v>
      </c>
      <c r="D2199" t="s">
        <v>25</v>
      </c>
      <c r="E2199" t="s">
        <v>3590</v>
      </c>
      <c r="H2199" t="str">
        <f t="shared" si="34"/>
        <v>Snap player eyes and orientation to specified pitch yaw &lt;roll:optional&gt; (must have sv_cheats).</v>
      </c>
    </row>
    <row r="2200" spans="1:24" x14ac:dyDescent="0.25">
      <c r="A2200" t="s">
        <v>5251</v>
      </c>
      <c r="C2200" t="s">
        <v>3591</v>
      </c>
      <c r="D2200" t="s">
        <v>25</v>
      </c>
      <c r="E2200" t="s">
        <v>3592</v>
      </c>
      <c r="H2200" t="str">
        <f t="shared" si="34"/>
        <v>Adds a new user info value</v>
      </c>
    </row>
    <row r="2201" spans="1:24" x14ac:dyDescent="0.25">
      <c r="A2201" t="s">
        <v>5251</v>
      </c>
      <c r="C2201" t="s">
        <v>3593</v>
      </c>
      <c r="D2201" t="s">
        <v>25</v>
      </c>
      <c r="E2201" t="s">
        <v>3594</v>
      </c>
      <c r="H2201" t="str">
        <f t="shared" si="34"/>
        <v>Changes's player's model</v>
      </c>
    </row>
    <row r="2202" spans="1:24" x14ac:dyDescent="0.25">
      <c r="A2202" t="s">
        <v>5251</v>
      </c>
      <c r="C2202" t="s">
        <v>3595</v>
      </c>
      <c r="D2202" t="s">
        <v>25</v>
      </c>
      <c r="E2202" t="s">
        <v>3596</v>
      </c>
      <c r="H2202" t="str">
        <f t="shared" si="34"/>
        <v>Set the pause state of the server.</v>
      </c>
    </row>
    <row r="2203" spans="1:24" x14ac:dyDescent="0.25">
      <c r="A2203" t="s">
        <v>5251</v>
      </c>
      <c r="C2203" t="s">
        <v>3597</v>
      </c>
      <c r="D2203" t="s">
        <v>25</v>
      </c>
      <c r="E2203" t="s">
        <v>3598</v>
      </c>
      <c r="H2203" t="str">
        <f t="shared" si="34"/>
        <v>Move player to specified origin (must have sv_cheats).</v>
      </c>
    </row>
    <row r="2204" spans="1:24" x14ac:dyDescent="0.25">
      <c r="A2204" t="s">
        <v>5251</v>
      </c>
      <c r="C2204" t="s">
        <v>3599</v>
      </c>
      <c r="D2204" t="s">
        <v>25</v>
      </c>
      <c r="E2204" t="s">
        <v>3600</v>
      </c>
      <c r="H2204" t="str">
        <f t="shared" si="34"/>
        <v>Move player to an exact specified origin (must have sv_cheats).</v>
      </c>
    </row>
    <row r="2205" spans="1:24" x14ac:dyDescent="0.25">
      <c r="A2205" t="s">
        <v>5251</v>
      </c>
      <c r="C2205" t="s">
        <v>3601</v>
      </c>
      <c r="D2205" t="s">
        <v>25</v>
      </c>
      <c r="E2205" t="s">
        <v>3602</v>
      </c>
      <c r="H2205" t="str">
        <f t="shared" si="34"/>
        <v>Move specified player to specified origin (must have sv_cheats).</v>
      </c>
    </row>
    <row r="2206" spans="1:24" x14ac:dyDescent="0.25">
      <c r="A2206" t="s">
        <v>5251</v>
      </c>
      <c r="C2206" t="s">
        <v>3603</v>
      </c>
      <c r="D2206" t="s">
        <v>25</v>
      </c>
      <c r="E2206" t="s">
        <v>3604</v>
      </c>
      <c r="H2206" t="str">
        <f t="shared" si="34"/>
        <v>Shake the screen.</v>
      </c>
    </row>
    <row r="2207" spans="1:24" x14ac:dyDescent="0.25">
      <c r="A2207" t="s">
        <v>5251</v>
      </c>
      <c r="C2207" t="s">
        <v>3605</v>
      </c>
      <c r="D2207" t="s">
        <v>25</v>
      </c>
      <c r="E2207" t="s">
        <v>3606</v>
      </c>
      <c r="H2207" t="str">
        <f t="shared" si="34"/>
        <v>Stops all active screen shakes.</v>
      </c>
    </row>
    <row r="2208" spans="1:24" x14ac:dyDescent="0.25">
      <c r="A2208" t="s">
        <v>5251</v>
      </c>
      <c r="C2208" t="s">
        <v>3607</v>
      </c>
      <c r="D2208" t="s">
        <v>25</v>
      </c>
      <c r="E2208" t="s">
        <v>3608</v>
      </c>
      <c r="H2208" t="str">
        <f t="shared" si="34"/>
        <v>Test a punch-style screen shake.</v>
      </c>
    </row>
    <row r="2209" spans="1:12" x14ac:dyDescent="0.25">
      <c r="A2209" t="s">
        <v>5252</v>
      </c>
      <c r="C2209" t="s">
        <v>3609</v>
      </c>
      <c r="D2209" t="s">
        <v>25</v>
      </c>
      <c r="E2209" t="s">
        <v>3610</v>
      </c>
      <c r="H2209" t="str">
        <f t="shared" si="34"/>
        <v>Toggles loadout display</v>
      </c>
    </row>
    <row r="2210" spans="1:12" x14ac:dyDescent="0.25">
      <c r="A2210" t="s">
        <v>5251</v>
      </c>
      <c r="B2210" t="s">
        <v>25</v>
      </c>
      <c r="C2210" t="s">
        <v>3611</v>
      </c>
      <c r="D2210" t="s">
        <v>25</v>
      </c>
      <c r="H2210">
        <f t="shared" si="34"/>
        <v>0</v>
      </c>
    </row>
    <row r="2211" spans="1:12" x14ac:dyDescent="0.25">
      <c r="A2211" t="s">
        <v>5251</v>
      </c>
      <c r="B2211" t="s">
        <v>25</v>
      </c>
      <c r="C2211" t="s">
        <v>3612</v>
      </c>
      <c r="D2211" t="s">
        <v>25</v>
      </c>
      <c r="H2211">
        <f t="shared" si="34"/>
        <v>0</v>
      </c>
    </row>
    <row r="2212" spans="1:12" x14ac:dyDescent="0.25">
      <c r="A2212" t="s">
        <v>5251</v>
      </c>
      <c r="C2212" t="s">
        <v>3613</v>
      </c>
      <c r="D2212">
        <v>0</v>
      </c>
      <c r="E2212" t="s">
        <v>3614</v>
      </c>
      <c r="H2212" t="str">
        <f t="shared" si="34"/>
        <v>Enable the texture budget panel.</v>
      </c>
      <c r="L2212" t="s">
        <v>5</v>
      </c>
    </row>
    <row r="2213" spans="1:12" x14ac:dyDescent="0.25">
      <c r="A2213" t="s">
        <v>5251</v>
      </c>
      <c r="B2213" t="s">
        <v>25</v>
      </c>
      <c r="C2213" t="s">
        <v>3615</v>
      </c>
      <c r="D2213" t="s">
        <v>25</v>
      </c>
      <c r="H2213">
        <f t="shared" si="34"/>
        <v>0</v>
      </c>
    </row>
    <row r="2214" spans="1:12" x14ac:dyDescent="0.25">
      <c r="A2214" t="s">
        <v>5251</v>
      </c>
      <c r="B2214" t="s">
        <v>25</v>
      </c>
      <c r="C2214" t="s">
        <v>3616</v>
      </c>
      <c r="D2214" t="s">
        <v>25</v>
      </c>
      <c r="H2214">
        <f t="shared" si="34"/>
        <v>0</v>
      </c>
    </row>
    <row r="2215" spans="1:12" x14ac:dyDescent="0.25">
      <c r="A2215" t="s">
        <v>5251</v>
      </c>
      <c r="B2215" t="s">
        <v>25</v>
      </c>
      <c r="C2215" t="s">
        <v>3617</v>
      </c>
      <c r="D2215" t="s">
        <v>25</v>
      </c>
      <c r="H2215">
        <f t="shared" si="34"/>
        <v>0</v>
      </c>
    </row>
    <row r="2216" spans="1:12" x14ac:dyDescent="0.25">
      <c r="A2216" t="s">
        <v>5251</v>
      </c>
      <c r="B2216" t="s">
        <v>25</v>
      </c>
      <c r="C2216" t="s">
        <v>3618</v>
      </c>
      <c r="D2216" t="s">
        <v>25</v>
      </c>
      <c r="H2216">
        <f t="shared" si="34"/>
        <v>0</v>
      </c>
    </row>
    <row r="2217" spans="1:12" x14ac:dyDescent="0.25">
      <c r="A2217" t="s">
        <v>5251</v>
      </c>
      <c r="C2217" t="s">
        <v>3619</v>
      </c>
      <c r="D2217" t="s">
        <v>25</v>
      </c>
      <c r="E2217" t="s">
        <v>3620</v>
      </c>
      <c r="H2217" t="str">
        <f t="shared" si="34"/>
        <v>Dump all items in +showbudget_texture_global in a text form</v>
      </c>
    </row>
    <row r="2218" spans="1:12" x14ac:dyDescent="0.25">
      <c r="A2218" t="s">
        <v>5253</v>
      </c>
      <c r="C2218" t="s">
        <v>3621</v>
      </c>
      <c r="D2218" t="s">
        <v>25</v>
      </c>
      <c r="E2218" t="s">
        <v>3622</v>
      </c>
      <c r="H2218" t="str">
        <f t="shared" si="34"/>
        <v>Show the console.</v>
      </c>
    </row>
    <row r="2219" spans="1:12" x14ac:dyDescent="0.25">
      <c r="A2219" t="s">
        <v>5253</v>
      </c>
      <c r="C2219" t="s">
        <v>3623</v>
      </c>
      <c r="D2219" t="s">
        <v>25</v>
      </c>
      <c r="E2219" t="s">
        <v>3624</v>
      </c>
      <c r="H2219" t="str">
        <f t="shared" si="34"/>
        <v>Shows a info panel: &lt;type&gt; &lt;title&gt; &lt;message&gt; [&lt;command number&gt;]</v>
      </c>
    </row>
    <row r="2220" spans="1:12" x14ac:dyDescent="0.25">
      <c r="A2220" t="s">
        <v>5251</v>
      </c>
      <c r="C2220" t="s">
        <v>3625</v>
      </c>
      <c r="D2220" t="s">
        <v>25</v>
      </c>
      <c r="E2220" t="s">
        <v>3626</v>
      </c>
      <c r="H2220" t="str">
        <f t="shared" si="34"/>
        <v>Shows a viewport panel &lt;name&gt;</v>
      </c>
    </row>
    <row r="2221" spans="1:12" x14ac:dyDescent="0.25">
      <c r="A2221" t="s">
        <v>5251</v>
      </c>
      <c r="B2221" t="s">
        <v>25</v>
      </c>
      <c r="C2221" t="s">
        <v>3627</v>
      </c>
      <c r="D2221" t="s">
        <v>25</v>
      </c>
      <c r="H2221">
        <f t="shared" si="34"/>
        <v>0</v>
      </c>
    </row>
    <row r="2222" spans="1:12" x14ac:dyDescent="0.25">
      <c r="A2222" t="s">
        <v>5251</v>
      </c>
      <c r="B2222" t="s">
        <v>25</v>
      </c>
      <c r="C2222" t="s">
        <v>3628</v>
      </c>
      <c r="D2222" t="s">
        <v>25</v>
      </c>
      <c r="H2222">
        <f t="shared" si="34"/>
        <v>0</v>
      </c>
    </row>
    <row r="2223" spans="1:12" x14ac:dyDescent="0.25">
      <c r="A2223" t="s">
        <v>5251</v>
      </c>
      <c r="C2223" t="s">
        <v>3629</v>
      </c>
      <c r="D2223">
        <v>0</v>
      </c>
      <c r="E2223" t="s">
        <v>3630</v>
      </c>
      <c r="H2223" t="str">
        <f t="shared" si="34"/>
        <v>Shows trigger brushes</v>
      </c>
      <c r="K2223" t="s">
        <v>4</v>
      </c>
      <c r="L2223" t="s">
        <v>5</v>
      </c>
    </row>
    <row r="2224" spans="1:12" x14ac:dyDescent="0.25">
      <c r="A2224" t="s">
        <v>5251</v>
      </c>
      <c r="C2224" t="s">
        <v>3631</v>
      </c>
      <c r="D2224" t="s">
        <v>25</v>
      </c>
      <c r="E2224" t="s">
        <v>3632</v>
      </c>
      <c r="H2224" t="str">
        <f t="shared" si="34"/>
        <v>Toggle show triggers</v>
      </c>
    </row>
    <row r="2225" spans="1:24" x14ac:dyDescent="0.25">
      <c r="A2225" t="s">
        <v>5251</v>
      </c>
      <c r="B2225" t="s">
        <v>25</v>
      </c>
      <c r="C2225" t="s">
        <v>3633</v>
      </c>
      <c r="D2225" t="s">
        <v>25</v>
      </c>
      <c r="H2225">
        <f t="shared" si="34"/>
        <v>0</v>
      </c>
    </row>
    <row r="2226" spans="1:24" x14ac:dyDescent="0.25">
      <c r="A2226" t="s">
        <v>5251</v>
      </c>
      <c r="B2226" t="s">
        <v>25</v>
      </c>
      <c r="C2226" t="s">
        <v>3634</v>
      </c>
      <c r="D2226" t="s">
        <v>25</v>
      </c>
      <c r="H2226">
        <f t="shared" si="34"/>
        <v>0</v>
      </c>
    </row>
    <row r="2227" spans="1:24" x14ac:dyDescent="0.25">
      <c r="A2227" t="s">
        <v>5251</v>
      </c>
      <c r="C2227" t="s">
        <v>3635</v>
      </c>
      <c r="D2227">
        <v>0</v>
      </c>
      <c r="E2227" t="s">
        <v>3636</v>
      </c>
      <c r="H2227" t="str">
        <f t="shared" si="34"/>
        <v>Run engine in single step mode ( set next to 1 to advance a frame )</v>
      </c>
      <c r="L2227" t="s">
        <v>5</v>
      </c>
    </row>
    <row r="2228" spans="1:24" x14ac:dyDescent="0.25">
      <c r="A2228" t="s">
        <v>5251</v>
      </c>
      <c r="C2228" t="s">
        <v>3637</v>
      </c>
      <c r="D2228">
        <v>1</v>
      </c>
      <c r="H2228">
        <f t="shared" si="34"/>
        <v>0</v>
      </c>
      <c r="I2228" t="s">
        <v>2</v>
      </c>
      <c r="S2228" t="s">
        <v>12</v>
      </c>
      <c r="X2228" t="s">
        <v>17</v>
      </c>
    </row>
    <row r="2229" spans="1:24" x14ac:dyDescent="0.25">
      <c r="A2229" t="s">
        <v>5253</v>
      </c>
      <c r="C2229" t="s">
        <v>3638</v>
      </c>
      <c r="D2229">
        <v>1</v>
      </c>
      <c r="E2229" t="s">
        <v>3639</v>
      </c>
      <c r="H2229" t="str">
        <f t="shared" si="34"/>
        <v>Game skill level (1-3).</v>
      </c>
      <c r="I2229" t="s">
        <v>2</v>
      </c>
    </row>
    <row r="2230" spans="1:24" x14ac:dyDescent="0.25">
      <c r="A2230" t="s">
        <v>5253</v>
      </c>
      <c r="C2230" t="s">
        <v>3640</v>
      </c>
      <c r="D2230" t="s">
        <v>25</v>
      </c>
      <c r="E2230" t="s">
        <v>3641</v>
      </c>
      <c r="H2230" t="str">
        <f t="shared" si="34"/>
        <v>Skips the next map in the map rotation for the server.</v>
      </c>
    </row>
    <row r="2231" spans="1:24" x14ac:dyDescent="0.25">
      <c r="A2231" t="s">
        <v>5251</v>
      </c>
      <c r="C2231" t="s">
        <v>3642</v>
      </c>
      <c r="D2231">
        <v>0</v>
      </c>
      <c r="H2231">
        <f t="shared" si="34"/>
        <v>0</v>
      </c>
      <c r="L2231" t="s">
        <v>5</v>
      </c>
      <c r="X2231" t="s">
        <v>17</v>
      </c>
    </row>
    <row r="2232" spans="1:24" x14ac:dyDescent="0.25">
      <c r="A2232" t="s">
        <v>5253</v>
      </c>
      <c r="B2232" t="s">
        <v>5258</v>
      </c>
      <c r="C2232" t="s">
        <v>3643</v>
      </c>
      <c r="D2232" t="s">
        <v>25</v>
      </c>
      <c r="H2232">
        <f t="shared" si="34"/>
        <v>0</v>
      </c>
    </row>
    <row r="2233" spans="1:24" x14ac:dyDescent="0.25">
      <c r="A2233" t="s">
        <v>5253</v>
      </c>
      <c r="B2233" t="s">
        <v>5258</v>
      </c>
      <c r="C2233" t="s">
        <v>3644</v>
      </c>
      <c r="D2233" t="s">
        <v>25</v>
      </c>
      <c r="H2233">
        <f t="shared" si="34"/>
        <v>0</v>
      </c>
    </row>
    <row r="2234" spans="1:24" x14ac:dyDescent="0.25">
      <c r="A2234" t="s">
        <v>5253</v>
      </c>
      <c r="B2234" t="s">
        <v>5258</v>
      </c>
      <c r="C2234" t="s">
        <v>3645</v>
      </c>
      <c r="D2234" t="s">
        <v>25</v>
      </c>
      <c r="H2234">
        <f t="shared" si="34"/>
        <v>0</v>
      </c>
    </row>
    <row r="2235" spans="1:24" x14ac:dyDescent="0.25">
      <c r="A2235" t="s">
        <v>5253</v>
      </c>
      <c r="B2235" t="s">
        <v>5258</v>
      </c>
      <c r="C2235" t="s">
        <v>3646</v>
      </c>
      <c r="D2235" t="s">
        <v>25</v>
      </c>
      <c r="H2235">
        <f t="shared" si="34"/>
        <v>0</v>
      </c>
    </row>
    <row r="2236" spans="1:24" x14ac:dyDescent="0.25">
      <c r="A2236" t="s">
        <v>5253</v>
      </c>
      <c r="B2236" t="s">
        <v>5258</v>
      </c>
      <c r="C2236" t="s">
        <v>3647</v>
      </c>
      <c r="D2236" t="s">
        <v>25</v>
      </c>
      <c r="H2236">
        <f t="shared" si="34"/>
        <v>0</v>
      </c>
    </row>
    <row r="2237" spans="1:24" x14ac:dyDescent="0.25">
      <c r="A2237" t="s">
        <v>5253</v>
      </c>
      <c r="B2237" t="s">
        <v>5258</v>
      </c>
      <c r="C2237" t="s">
        <v>3648</v>
      </c>
      <c r="D2237" t="s">
        <v>25</v>
      </c>
      <c r="H2237">
        <f t="shared" si="34"/>
        <v>0</v>
      </c>
    </row>
    <row r="2238" spans="1:24" x14ac:dyDescent="0.25">
      <c r="A2238" t="s">
        <v>5253</v>
      </c>
      <c r="B2238" t="s">
        <v>5258</v>
      </c>
      <c r="C2238" t="s">
        <v>3649</v>
      </c>
      <c r="D2238" t="s">
        <v>25</v>
      </c>
      <c r="H2238">
        <f t="shared" si="34"/>
        <v>0</v>
      </c>
    </row>
    <row r="2239" spans="1:24" x14ac:dyDescent="0.25">
      <c r="A2239" t="s">
        <v>5253</v>
      </c>
      <c r="B2239" t="s">
        <v>5258</v>
      </c>
      <c r="C2239" t="s">
        <v>3650</v>
      </c>
      <c r="D2239" t="s">
        <v>25</v>
      </c>
      <c r="H2239">
        <f t="shared" si="34"/>
        <v>0</v>
      </c>
    </row>
    <row r="2240" spans="1:24" x14ac:dyDescent="0.25">
      <c r="A2240" t="s">
        <v>5253</v>
      </c>
      <c r="B2240" t="s">
        <v>5258</v>
      </c>
      <c r="C2240" t="s">
        <v>3651</v>
      </c>
      <c r="D2240" t="s">
        <v>25</v>
      </c>
      <c r="H2240">
        <f t="shared" si="34"/>
        <v>0</v>
      </c>
    </row>
    <row r="2241" spans="1:12" x14ac:dyDescent="0.25">
      <c r="A2241" t="s">
        <v>5253</v>
      </c>
      <c r="B2241" t="s">
        <v>5258</v>
      </c>
      <c r="C2241" t="s">
        <v>3652</v>
      </c>
      <c r="D2241" t="s">
        <v>25</v>
      </c>
      <c r="H2241">
        <f t="shared" si="34"/>
        <v>0</v>
      </c>
    </row>
    <row r="2242" spans="1:12" x14ac:dyDescent="0.25">
      <c r="A2242" t="s">
        <v>5253</v>
      </c>
      <c r="B2242" t="s">
        <v>5258</v>
      </c>
      <c r="C2242" t="s">
        <v>3653</v>
      </c>
      <c r="D2242" t="s">
        <v>25</v>
      </c>
      <c r="H2242">
        <f t="shared" si="34"/>
        <v>0</v>
      </c>
    </row>
    <row r="2243" spans="1:12" x14ac:dyDescent="0.25">
      <c r="A2243" t="s">
        <v>5253</v>
      </c>
      <c r="B2243" t="s">
        <v>5258</v>
      </c>
      <c r="C2243" t="s">
        <v>3654</v>
      </c>
      <c r="D2243" t="s">
        <v>25</v>
      </c>
      <c r="H2243">
        <f t="shared" ref="H2243:H2306" si="35">IF(F2243="",E2243, F2243 &amp; " - Original Helptext: " &amp;E2243)</f>
        <v>0</v>
      </c>
    </row>
    <row r="2244" spans="1:12" x14ac:dyDescent="0.25">
      <c r="A2244" t="s">
        <v>5253</v>
      </c>
      <c r="B2244" t="s">
        <v>5258</v>
      </c>
      <c r="C2244" t="s">
        <v>3655</v>
      </c>
      <c r="D2244" t="s">
        <v>25</v>
      </c>
      <c r="H2244">
        <f t="shared" si="35"/>
        <v>0</v>
      </c>
    </row>
    <row r="2245" spans="1:12" x14ac:dyDescent="0.25">
      <c r="A2245" t="s">
        <v>5253</v>
      </c>
      <c r="B2245" t="s">
        <v>5258</v>
      </c>
      <c r="C2245" t="s">
        <v>3656</v>
      </c>
      <c r="D2245" t="s">
        <v>25</v>
      </c>
      <c r="H2245">
        <f t="shared" si="35"/>
        <v>0</v>
      </c>
    </row>
    <row r="2246" spans="1:12" x14ac:dyDescent="0.25">
      <c r="A2246" t="s">
        <v>5251</v>
      </c>
      <c r="C2246" t="s">
        <v>3657</v>
      </c>
      <c r="D2246" t="s">
        <v>25</v>
      </c>
      <c r="H2246">
        <f t="shared" si="35"/>
        <v>0</v>
      </c>
    </row>
    <row r="2247" spans="1:12" x14ac:dyDescent="0.25">
      <c r="A2247" t="s">
        <v>5251</v>
      </c>
      <c r="C2247" t="s">
        <v>3658</v>
      </c>
      <c r="D2247" t="s">
        <v>25</v>
      </c>
      <c r="E2247" t="s">
        <v>3659</v>
      </c>
      <c r="H2247" t="str">
        <f t="shared" si="35"/>
        <v>Flush all unlocked async audio data</v>
      </c>
    </row>
    <row r="2248" spans="1:12" x14ac:dyDescent="0.25">
      <c r="A2248" t="s">
        <v>5251</v>
      </c>
      <c r="C2248" t="s">
        <v>3660</v>
      </c>
      <c r="D2248" t="s">
        <v>25</v>
      </c>
      <c r="E2248" t="s">
        <v>3661</v>
      </c>
      <c r="H2248" t="str">
        <f t="shared" si="35"/>
        <v>Show async memory stats</v>
      </c>
    </row>
    <row r="2249" spans="1:12" x14ac:dyDescent="0.25">
      <c r="A2249" t="s">
        <v>5251</v>
      </c>
      <c r="C2249" t="s">
        <v>3662</v>
      </c>
      <c r="D2249" t="s">
        <v>25</v>
      </c>
      <c r="E2249" t="s">
        <v>3663</v>
      </c>
      <c r="H2249" t="str">
        <f t="shared" si="35"/>
        <v>Show async memory stats for just non-streamed music</v>
      </c>
    </row>
    <row r="2250" spans="1:12" x14ac:dyDescent="0.25">
      <c r="A2250" t="s">
        <v>5251</v>
      </c>
      <c r="C2250" t="s">
        <v>3664</v>
      </c>
      <c r="D2250" t="s">
        <v>25</v>
      </c>
      <c r="E2250" t="s">
        <v>3665</v>
      </c>
      <c r="H2250" t="str">
        <f t="shared" si="35"/>
        <v>Show brief async memory stats</v>
      </c>
    </row>
    <row r="2251" spans="1:12" x14ac:dyDescent="0.25">
      <c r="A2251" t="s">
        <v>5251</v>
      </c>
      <c r="C2251" t="s">
        <v>3666</v>
      </c>
      <c r="D2251">
        <v>0</v>
      </c>
      <c r="E2251" t="s">
        <v>3667</v>
      </c>
      <c r="H2251" t="str">
        <f t="shared" si="35"/>
        <v>Relative volume of the death camera music.</v>
      </c>
      <c r="I2251" t="s">
        <v>2</v>
      </c>
    </row>
    <row r="2252" spans="1:12" x14ac:dyDescent="0.25">
      <c r="A2252" t="s">
        <v>5251</v>
      </c>
      <c r="C2252" t="s">
        <v>3668</v>
      </c>
      <c r="D2252">
        <v>0</v>
      </c>
      <c r="E2252" t="s">
        <v>3669</v>
      </c>
      <c r="H2252" t="str">
        <f t="shared" si="35"/>
        <v>Visualize panning crossfade curves</v>
      </c>
      <c r="L2252" t="s">
        <v>5</v>
      </c>
    </row>
    <row r="2253" spans="1:12" x14ac:dyDescent="0.25">
      <c r="A2253" t="s">
        <v>5251</v>
      </c>
      <c r="C2253" t="s">
        <v>3670</v>
      </c>
      <c r="D2253">
        <v>0</v>
      </c>
      <c r="H2253">
        <f t="shared" si="35"/>
        <v>0</v>
      </c>
      <c r="L2253" t="s">
        <v>5</v>
      </c>
    </row>
    <row r="2254" spans="1:12" x14ac:dyDescent="0.25">
      <c r="A2254" t="s">
        <v>5251</v>
      </c>
      <c r="C2254" t="s">
        <v>3671</v>
      </c>
      <c r="D2254">
        <v>0</v>
      </c>
      <c r="H2254">
        <f t="shared" si="35"/>
        <v>0</v>
      </c>
      <c r="L2254" t="s">
        <v>5</v>
      </c>
    </row>
    <row r="2255" spans="1:12" x14ac:dyDescent="0.25">
      <c r="A2255" t="s">
        <v>5251</v>
      </c>
      <c r="C2255" t="s">
        <v>3672</v>
      </c>
      <c r="D2255">
        <v>0</v>
      </c>
      <c r="H2255">
        <f t="shared" si="35"/>
        <v>0</v>
      </c>
      <c r="I2255" t="s">
        <v>2</v>
      </c>
    </row>
    <row r="2256" spans="1:12" x14ac:dyDescent="0.25">
      <c r="A2256" t="s">
        <v>5251</v>
      </c>
      <c r="C2256" t="s">
        <v>3673</v>
      </c>
      <c r="D2256">
        <v>2</v>
      </c>
      <c r="H2256">
        <f t="shared" si="35"/>
        <v>0</v>
      </c>
      <c r="I2256" t="s">
        <v>2</v>
      </c>
    </row>
    <row r="2257" spans="1:12" x14ac:dyDescent="0.25">
      <c r="A2257" t="s">
        <v>5251</v>
      </c>
      <c r="C2257" t="s">
        <v>3674</v>
      </c>
      <c r="D2257">
        <v>0</v>
      </c>
      <c r="H2257">
        <f t="shared" si="35"/>
        <v>0</v>
      </c>
      <c r="I2257" t="s">
        <v>2</v>
      </c>
    </row>
    <row r="2258" spans="1:12" x14ac:dyDescent="0.25">
      <c r="A2258" t="s">
        <v>5251</v>
      </c>
      <c r="C2258" t="s">
        <v>3675</v>
      </c>
      <c r="D2258">
        <v>1</v>
      </c>
      <c r="H2258">
        <f t="shared" si="35"/>
        <v>0</v>
      </c>
      <c r="I2258" t="s">
        <v>2</v>
      </c>
    </row>
    <row r="2259" spans="1:12" x14ac:dyDescent="0.25">
      <c r="A2259" t="s">
        <v>5251</v>
      </c>
      <c r="C2259" t="s">
        <v>3676</v>
      </c>
      <c r="D2259">
        <v>0</v>
      </c>
      <c r="H2259">
        <f t="shared" si="35"/>
        <v>0</v>
      </c>
      <c r="I2259" t="s">
        <v>2</v>
      </c>
    </row>
    <row r="2260" spans="1:12" x14ac:dyDescent="0.25">
      <c r="A2260" t="s">
        <v>5251</v>
      </c>
      <c r="C2260" t="s">
        <v>3677</v>
      </c>
      <c r="D2260" t="s">
        <v>25</v>
      </c>
      <c r="H2260">
        <f t="shared" si="35"/>
        <v>0</v>
      </c>
    </row>
    <row r="2261" spans="1:12" x14ac:dyDescent="0.25">
      <c r="A2261" t="s">
        <v>5251</v>
      </c>
      <c r="C2261" t="s">
        <v>3678</v>
      </c>
      <c r="D2261" t="s">
        <v>25</v>
      </c>
      <c r="E2261" t="s">
        <v>3679</v>
      </c>
      <c r="H2261" t="str">
        <f t="shared" si="35"/>
        <v>Dump sounds to console</v>
      </c>
    </row>
    <row r="2262" spans="1:12" x14ac:dyDescent="0.25">
      <c r="A2262" t="s">
        <v>5251</v>
      </c>
      <c r="C2262" t="s">
        <v>3680</v>
      </c>
      <c r="D2262">
        <v>1320</v>
      </c>
      <c r="E2262" t="s">
        <v>3681</v>
      </c>
      <c r="H2262" t="str">
        <f t="shared" si="35"/>
        <v>Play full 'far' sound at this distance</v>
      </c>
      <c r="L2262" t="s">
        <v>5</v>
      </c>
    </row>
    <row r="2263" spans="1:12" x14ac:dyDescent="0.25">
      <c r="A2263" t="s">
        <v>5251</v>
      </c>
      <c r="C2263" t="s">
        <v>3682</v>
      </c>
      <c r="D2263">
        <v>240</v>
      </c>
      <c r="E2263" t="s">
        <v>3683</v>
      </c>
      <c r="H2263" t="str">
        <f t="shared" si="35"/>
        <v>Play full 'near' sound at this distance</v>
      </c>
      <c r="L2263" t="s">
        <v>5</v>
      </c>
    </row>
    <row r="2264" spans="1:12" x14ac:dyDescent="0.25">
      <c r="A2264" t="s">
        <v>5251</v>
      </c>
      <c r="C2264" t="s">
        <v>3684</v>
      </c>
      <c r="D2264">
        <v>0</v>
      </c>
      <c r="E2264" t="s">
        <v>3685</v>
      </c>
      <c r="H2264" t="str">
        <f t="shared" si="35"/>
        <v>Relative volume of the Danger Zone victory music.</v>
      </c>
      <c r="I2264" t="s">
        <v>2</v>
      </c>
    </row>
    <row r="2265" spans="1:12" x14ac:dyDescent="0.25">
      <c r="A2265" t="s">
        <v>5251</v>
      </c>
      <c r="C2265" t="s">
        <v>3686</v>
      </c>
      <c r="D2265">
        <v>0</v>
      </c>
      <c r="H2265">
        <f t="shared" si="35"/>
        <v>0</v>
      </c>
      <c r="L2265" t="s">
        <v>5</v>
      </c>
    </row>
    <row r="2266" spans="1:12" x14ac:dyDescent="0.25">
      <c r="A2266" t="s">
        <v>5251</v>
      </c>
      <c r="C2266" t="s">
        <v>3687</v>
      </c>
      <c r="D2266">
        <v>4</v>
      </c>
      <c r="E2266" t="s">
        <v>3688</v>
      </c>
      <c r="H2266" t="str">
        <f t="shared" si="35"/>
        <v>foliage dB loss per 1200 units</v>
      </c>
      <c r="L2266" t="s">
        <v>5</v>
      </c>
    </row>
    <row r="2267" spans="1:12" x14ac:dyDescent="0.25">
      <c r="A2267" t="s">
        <v>5251</v>
      </c>
      <c r="C2267" t="s">
        <v>3689</v>
      </c>
      <c r="D2267" t="s">
        <v>25</v>
      </c>
      <c r="E2267" t="s">
        <v>3690</v>
      </c>
      <c r="H2267" t="str">
        <f t="shared" si="35"/>
        <v>Specifies the position (in degrees) of the virtual front left/right headphones.</v>
      </c>
    </row>
    <row r="2268" spans="1:12" x14ac:dyDescent="0.25">
      <c r="A2268" t="s">
        <v>5251</v>
      </c>
      <c r="C2268" t="s">
        <v>3691</v>
      </c>
      <c r="D2268" t="s">
        <v>25</v>
      </c>
      <c r="E2268" t="s">
        <v>3692</v>
      </c>
      <c r="H2268" t="str">
        <f t="shared" si="35"/>
        <v>Specifies the position (in degrees) of the virtual front left/right speakers.</v>
      </c>
    </row>
    <row r="2269" spans="1:12" x14ac:dyDescent="0.25">
      <c r="A2269" t="s">
        <v>5251</v>
      </c>
      <c r="C2269" t="s">
        <v>3693</v>
      </c>
      <c r="D2269" t="s">
        <v>25</v>
      </c>
      <c r="E2269" t="s">
        <v>3692</v>
      </c>
      <c r="H2269" t="str">
        <f t="shared" si="35"/>
        <v>Specifies the position (in degrees) of the virtual front left/right speakers.</v>
      </c>
    </row>
    <row r="2270" spans="1:12" x14ac:dyDescent="0.25">
      <c r="A2270" t="s">
        <v>5251</v>
      </c>
      <c r="C2270" t="s">
        <v>3694</v>
      </c>
      <c r="D2270">
        <v>1</v>
      </c>
      <c r="H2270">
        <f t="shared" si="35"/>
        <v>0</v>
      </c>
      <c r="L2270" t="s">
        <v>5</v>
      </c>
    </row>
    <row r="2271" spans="1:12" x14ac:dyDescent="0.25">
      <c r="A2271" t="s">
        <v>5251</v>
      </c>
      <c r="C2271" t="s">
        <v>3695</v>
      </c>
      <c r="D2271">
        <v>1</v>
      </c>
      <c r="H2271">
        <f t="shared" si="35"/>
        <v>0</v>
      </c>
      <c r="L2271" t="s">
        <v>5</v>
      </c>
    </row>
    <row r="2272" spans="1:12" x14ac:dyDescent="0.25">
      <c r="A2272" t="s">
        <v>5251</v>
      </c>
      <c r="C2272" t="s">
        <v>3696</v>
      </c>
      <c r="D2272">
        <v>0</v>
      </c>
      <c r="H2272">
        <f t="shared" si="35"/>
        <v>0</v>
      </c>
      <c r="L2272" t="s">
        <v>5</v>
      </c>
    </row>
    <row r="2273" spans="1:24" x14ac:dyDescent="0.25">
      <c r="A2273" t="s">
        <v>5251</v>
      </c>
      <c r="C2273" t="s">
        <v>3697</v>
      </c>
      <c r="D2273" t="s">
        <v>25</v>
      </c>
      <c r="E2273" t="s">
        <v>3698</v>
      </c>
      <c r="H2273" t="str">
        <f t="shared" si="35"/>
        <v>Get data related to mix group matching string</v>
      </c>
    </row>
    <row r="2274" spans="1:24" x14ac:dyDescent="0.25">
      <c r="A2274" t="s">
        <v>5251</v>
      </c>
      <c r="C2274" t="s">
        <v>3699</v>
      </c>
      <c r="D2274" t="s">
        <v>25</v>
      </c>
      <c r="E2274" t="s">
        <v>3700</v>
      </c>
      <c r="H2274" t="str">
        <f t="shared" si="35"/>
        <v>Specifies the exponent for the pan xfade from phone to phone if the 'exp' pan law is being used.</v>
      </c>
    </row>
    <row r="2275" spans="1:24" x14ac:dyDescent="0.25">
      <c r="A2275" t="s">
        <v>5251</v>
      </c>
      <c r="C2275" t="s">
        <v>3701</v>
      </c>
      <c r="D2275" t="s">
        <v>25</v>
      </c>
      <c r="E2275" t="s">
        <v>3702</v>
      </c>
      <c r="H2275" t="str">
        <f t="shared" si="35"/>
        <v>Apply cos(angle) * weight before pan law</v>
      </c>
    </row>
    <row r="2276" spans="1:24" x14ac:dyDescent="0.25">
      <c r="A2276" t="s">
        <v>5251</v>
      </c>
      <c r="C2276" t="s">
        <v>3703</v>
      </c>
      <c r="D2276">
        <v>100</v>
      </c>
      <c r="E2276" t="s">
        <v>3704</v>
      </c>
      <c r="H2276" t="str">
        <f t="shared" si="35"/>
        <v>HRTF calculations will calculate the player as being this far behind the camera. Valid values are between 0 and 300.</v>
      </c>
      <c r="I2276" t="s">
        <v>2</v>
      </c>
    </row>
    <row r="2277" spans="1:24" x14ac:dyDescent="0.25">
      <c r="A2277" t="s">
        <v>5251</v>
      </c>
      <c r="C2277" t="s">
        <v>3705</v>
      </c>
      <c r="D2277">
        <v>800</v>
      </c>
      <c r="H2277">
        <f t="shared" si="35"/>
        <v>0</v>
      </c>
      <c r="L2277" t="s">
        <v>5</v>
      </c>
    </row>
    <row r="2278" spans="1:24" x14ac:dyDescent="0.25">
      <c r="A2278" t="s">
        <v>5251</v>
      </c>
      <c r="C2278" t="s">
        <v>3706</v>
      </c>
      <c r="D2278">
        <v>100</v>
      </c>
      <c r="H2278">
        <f t="shared" si="35"/>
        <v>0</v>
      </c>
      <c r="L2278" t="s">
        <v>5</v>
      </c>
    </row>
    <row r="2279" spans="1:24" x14ac:dyDescent="0.25">
      <c r="A2279" t="s">
        <v>5251</v>
      </c>
      <c r="C2279" t="s">
        <v>3707</v>
      </c>
      <c r="D2279">
        <v>1</v>
      </c>
      <c r="H2279">
        <f t="shared" si="35"/>
        <v>0</v>
      </c>
      <c r="L2279" t="s">
        <v>5</v>
      </c>
    </row>
    <row r="2280" spans="1:24" x14ac:dyDescent="0.25">
      <c r="A2280" t="s">
        <v>5251</v>
      </c>
      <c r="C2280" t="s">
        <v>3708</v>
      </c>
      <c r="D2280">
        <v>0</v>
      </c>
      <c r="H2280">
        <f t="shared" si="35"/>
        <v>0</v>
      </c>
      <c r="I2280" t="s">
        <v>2</v>
      </c>
    </row>
    <row r="2281" spans="1:24" x14ac:dyDescent="0.25">
      <c r="A2281" t="s">
        <v>5251</v>
      </c>
      <c r="C2281" t="s">
        <v>3709</v>
      </c>
      <c r="D2281">
        <v>0</v>
      </c>
      <c r="E2281" t="s">
        <v>3710</v>
      </c>
      <c r="H2281" t="str">
        <f t="shared" si="35"/>
        <v>Controls volume of HRTF sounds</v>
      </c>
      <c r="L2281" t="s">
        <v>5</v>
      </c>
    </row>
    <row r="2282" spans="1:24" x14ac:dyDescent="0.25">
      <c r="A2282" t="s">
        <v>5251</v>
      </c>
      <c r="C2282" t="s">
        <v>3711</v>
      </c>
      <c r="D2282">
        <v>0</v>
      </c>
      <c r="H2282">
        <f t="shared" si="35"/>
        <v>0</v>
      </c>
      <c r="I2282" t="s">
        <v>2</v>
      </c>
    </row>
    <row r="2283" spans="1:24" x14ac:dyDescent="0.25">
      <c r="A2283" t="s">
        <v>5251</v>
      </c>
      <c r="C2283" t="s">
        <v>3712</v>
      </c>
      <c r="D2283">
        <v>0</v>
      </c>
      <c r="H2283">
        <f t="shared" si="35"/>
        <v>0</v>
      </c>
      <c r="L2283" t="s">
        <v>5</v>
      </c>
    </row>
    <row r="2284" spans="1:24" x14ac:dyDescent="0.25">
      <c r="A2284" t="s">
        <v>5251</v>
      </c>
      <c r="C2284" t="s">
        <v>3713</v>
      </c>
      <c r="D2284">
        <v>0</v>
      </c>
      <c r="E2284" t="s">
        <v>3714</v>
      </c>
      <c r="H2284" t="str">
        <f t="shared" si="35"/>
        <v>Minimum amount of time to pause between playing main menu music</v>
      </c>
      <c r="L2284" t="s">
        <v>5</v>
      </c>
      <c r="X2284" t="s">
        <v>17</v>
      </c>
    </row>
    <row r="2285" spans="1:24" x14ac:dyDescent="0.25">
      <c r="A2285" t="s">
        <v>5251</v>
      </c>
      <c r="C2285" t="s">
        <v>3715</v>
      </c>
      <c r="D2285">
        <v>0</v>
      </c>
      <c r="E2285" t="s">
        <v>3714</v>
      </c>
      <c r="H2285" t="str">
        <f t="shared" si="35"/>
        <v>Minimum amount of time to pause between playing main menu music</v>
      </c>
      <c r="L2285" t="s">
        <v>5</v>
      </c>
      <c r="X2285" t="s">
        <v>17</v>
      </c>
    </row>
    <row r="2286" spans="1:24" x14ac:dyDescent="0.25">
      <c r="A2286" t="s">
        <v>5251</v>
      </c>
      <c r="C2286" t="s">
        <v>3716</v>
      </c>
      <c r="D2286">
        <v>0</v>
      </c>
      <c r="E2286" t="s">
        <v>3717</v>
      </c>
      <c r="H2286" t="str">
        <f t="shared" si="35"/>
        <v>Relative volume of map objective music.</v>
      </c>
      <c r="I2286" t="s">
        <v>2</v>
      </c>
    </row>
    <row r="2287" spans="1:24" x14ac:dyDescent="0.25">
      <c r="A2287" t="s">
        <v>5251</v>
      </c>
      <c r="C2287" t="s">
        <v>3718</v>
      </c>
      <c r="D2287">
        <v>4</v>
      </c>
      <c r="H2287">
        <f t="shared" si="35"/>
        <v>0</v>
      </c>
      <c r="L2287" t="s">
        <v>5</v>
      </c>
    </row>
    <row r="2288" spans="1:24" x14ac:dyDescent="0.25">
      <c r="A2288" t="s">
        <v>5251</v>
      </c>
      <c r="C2288" t="s">
        <v>3719</v>
      </c>
      <c r="D2288">
        <v>3</v>
      </c>
      <c r="H2288">
        <f t="shared" si="35"/>
        <v>0</v>
      </c>
      <c r="L2288" t="s">
        <v>5</v>
      </c>
    </row>
    <row r="2289" spans="1:24" x14ac:dyDescent="0.25">
      <c r="A2289" t="s">
        <v>5251</v>
      </c>
      <c r="C2289" t="s">
        <v>3720</v>
      </c>
      <c r="D2289">
        <v>0</v>
      </c>
      <c r="E2289" t="s">
        <v>3721</v>
      </c>
      <c r="H2289" t="str">
        <f t="shared" si="35"/>
        <v>Relative volume of the main menu music.</v>
      </c>
      <c r="I2289" t="s">
        <v>2</v>
      </c>
    </row>
    <row r="2290" spans="1:24" x14ac:dyDescent="0.25">
      <c r="A2290" t="s">
        <v>5251</v>
      </c>
      <c r="C2290" t="s">
        <v>3722</v>
      </c>
      <c r="D2290">
        <v>1</v>
      </c>
      <c r="E2290" t="s">
        <v>3723</v>
      </c>
      <c r="H2290" t="str">
        <f t="shared" si="35"/>
        <v>Sets sound to get mixed asynchronously on a different thread</v>
      </c>
      <c r="I2290" t="s">
        <v>2</v>
      </c>
    </row>
    <row r="2291" spans="1:24" x14ac:dyDescent="0.25">
      <c r="A2291" t="s">
        <v>5251</v>
      </c>
      <c r="C2291" t="s">
        <v>3724</v>
      </c>
      <c r="D2291">
        <v>0</v>
      </c>
      <c r="H2291">
        <f t="shared" si="35"/>
        <v>0</v>
      </c>
      <c r="I2291" t="s">
        <v>2</v>
      </c>
    </row>
    <row r="2292" spans="1:24" x14ac:dyDescent="0.25">
      <c r="A2292" t="s">
        <v>5251</v>
      </c>
      <c r="C2292" t="s">
        <v>3725</v>
      </c>
      <c r="D2292">
        <v>1</v>
      </c>
      <c r="H2292">
        <f t="shared" si="35"/>
        <v>0</v>
      </c>
      <c r="L2292" t="s">
        <v>5</v>
      </c>
    </row>
    <row r="2293" spans="1:24" x14ac:dyDescent="0.25">
      <c r="A2293" t="s">
        <v>5251</v>
      </c>
      <c r="C2293" t="s">
        <v>3726</v>
      </c>
      <c r="D2293">
        <v>1</v>
      </c>
      <c r="H2293">
        <f t="shared" si="35"/>
        <v>0</v>
      </c>
      <c r="L2293" t="s">
        <v>5</v>
      </c>
    </row>
    <row r="2294" spans="1:24" x14ac:dyDescent="0.25">
      <c r="A2294" t="s">
        <v>5251</v>
      </c>
      <c r="C2294" t="s">
        <v>3727</v>
      </c>
      <c r="D2294">
        <v>1</v>
      </c>
      <c r="E2294" t="s">
        <v>3728</v>
      </c>
      <c r="H2294" t="str">
        <f t="shared" si="35"/>
        <v>Tracking rotating music for players with no music packs equipped.</v>
      </c>
      <c r="I2294" t="s">
        <v>2</v>
      </c>
      <c r="X2294" t="s">
        <v>17</v>
      </c>
    </row>
    <row r="2295" spans="1:24" x14ac:dyDescent="0.25">
      <c r="A2295" t="s">
        <v>5251</v>
      </c>
      <c r="C2295" t="s">
        <v>3729</v>
      </c>
      <c r="D2295">
        <v>0</v>
      </c>
      <c r="E2295" t="s">
        <v>3730</v>
      </c>
      <c r="H2295" t="str">
        <f t="shared" si="35"/>
        <v>Music volume multiplier when Steam Overlay is active</v>
      </c>
      <c r="I2295" t="s">
        <v>2</v>
      </c>
    </row>
    <row r="2296" spans="1:24" x14ac:dyDescent="0.25">
      <c r="A2296" t="s">
        <v>5251</v>
      </c>
      <c r="C2296" t="s">
        <v>3731</v>
      </c>
      <c r="D2296">
        <v>1</v>
      </c>
      <c r="H2296">
        <f t="shared" si="35"/>
        <v>0</v>
      </c>
      <c r="I2296" t="s">
        <v>2</v>
      </c>
    </row>
    <row r="2297" spans="1:24" x14ac:dyDescent="0.25">
      <c r="A2297" t="s">
        <v>5251</v>
      </c>
      <c r="C2297" t="s">
        <v>3732</v>
      </c>
      <c r="D2297">
        <v>0</v>
      </c>
      <c r="E2297" t="s">
        <v>3733</v>
      </c>
      <c r="H2297" t="str">
        <f t="shared" si="35"/>
        <v>If set, MVP music is muted if players from both teams are still alive.</v>
      </c>
      <c r="I2297" t="s">
        <v>2</v>
      </c>
      <c r="X2297" t="s">
        <v>17</v>
      </c>
    </row>
    <row r="2298" spans="1:24" x14ac:dyDescent="0.25">
      <c r="A2298" t="s">
        <v>5251</v>
      </c>
      <c r="C2298" t="s">
        <v>3734</v>
      </c>
      <c r="D2298">
        <v>1</v>
      </c>
      <c r="E2298" t="s">
        <v>3735</v>
      </c>
      <c r="H2298" t="str">
        <f t="shared" si="35"/>
        <v>Relative volume of the MVP music.</v>
      </c>
      <c r="I2298" t="s">
        <v>2</v>
      </c>
    </row>
    <row r="2299" spans="1:24" x14ac:dyDescent="0.25">
      <c r="A2299" t="s">
        <v>5251</v>
      </c>
      <c r="C2299" t="s">
        <v>3736</v>
      </c>
      <c r="D2299">
        <v>-2</v>
      </c>
      <c r="H2299">
        <f t="shared" si="35"/>
        <v>0</v>
      </c>
      <c r="L2299" t="s">
        <v>5</v>
      </c>
    </row>
    <row r="2300" spans="1:24" x14ac:dyDescent="0.25">
      <c r="A2300" t="s">
        <v>5251</v>
      </c>
      <c r="C2300" t="s">
        <v>3737</v>
      </c>
      <c r="D2300">
        <v>1</v>
      </c>
      <c r="H2300">
        <f t="shared" si="35"/>
        <v>0</v>
      </c>
      <c r="L2300" t="s">
        <v>5</v>
      </c>
      <c r="S2300" t="s">
        <v>12</v>
      </c>
    </row>
    <row r="2301" spans="1:24" x14ac:dyDescent="0.25">
      <c r="A2301" t="s">
        <v>5251</v>
      </c>
      <c r="C2301" t="s">
        <v>3738</v>
      </c>
      <c r="D2301">
        <v>0</v>
      </c>
      <c r="H2301">
        <f t="shared" si="35"/>
        <v>0</v>
      </c>
      <c r="L2301" t="s">
        <v>5</v>
      </c>
    </row>
    <row r="2302" spans="1:24" x14ac:dyDescent="0.25">
      <c r="A2302" t="s">
        <v>5251</v>
      </c>
      <c r="C2302" t="s">
        <v>3739</v>
      </c>
      <c r="D2302">
        <v>0</v>
      </c>
      <c r="H2302">
        <f t="shared" si="35"/>
        <v>0</v>
      </c>
      <c r="L2302" t="s">
        <v>5</v>
      </c>
    </row>
    <row r="2303" spans="1:24" x14ac:dyDescent="0.25">
      <c r="A2303" t="s">
        <v>5251</v>
      </c>
      <c r="C2303" t="s">
        <v>3740</v>
      </c>
      <c r="D2303">
        <v>1</v>
      </c>
      <c r="H2303">
        <f t="shared" si="35"/>
        <v>0</v>
      </c>
      <c r="L2303" t="s">
        <v>5</v>
      </c>
    </row>
    <row r="2304" spans="1:24" x14ac:dyDescent="0.25">
      <c r="A2304" t="s">
        <v>5251</v>
      </c>
      <c r="C2304" t="s">
        <v>3741</v>
      </c>
      <c r="D2304">
        <v>1</v>
      </c>
      <c r="H2304">
        <f t="shared" si="35"/>
        <v>0</v>
      </c>
      <c r="L2304" t="s">
        <v>5</v>
      </c>
    </row>
    <row r="2305" spans="1:19" x14ac:dyDescent="0.25">
      <c r="A2305" t="s">
        <v>5251</v>
      </c>
      <c r="C2305" t="s">
        <v>3742</v>
      </c>
      <c r="D2305">
        <v>4</v>
      </c>
      <c r="H2305">
        <f t="shared" si="35"/>
        <v>0</v>
      </c>
      <c r="L2305" t="s">
        <v>5</v>
      </c>
      <c r="S2305" t="s">
        <v>12</v>
      </c>
    </row>
    <row r="2306" spans="1:19" x14ac:dyDescent="0.25">
      <c r="A2306" t="s">
        <v>5251</v>
      </c>
      <c r="C2306" t="s">
        <v>3743</v>
      </c>
      <c r="D2306">
        <v>1</v>
      </c>
      <c r="H2306">
        <f t="shared" si="35"/>
        <v>0</v>
      </c>
      <c r="L2306" t="s">
        <v>5</v>
      </c>
    </row>
    <row r="2307" spans="1:19" x14ac:dyDescent="0.25">
      <c r="A2307" t="s">
        <v>5251</v>
      </c>
      <c r="C2307" t="s">
        <v>3744</v>
      </c>
      <c r="D2307">
        <v>1</v>
      </c>
      <c r="E2307" t="s">
        <v>3745</v>
      </c>
      <c r="H2307" t="str">
        <f t="shared" ref="H2307:H2370" si="36">IF(F2307="",E2307, F2307 &amp; " - Original Helptext: " &amp;E2307)</f>
        <v>Specifies to pause all sounds and not just voice</v>
      </c>
      <c r="L2307" t="s">
        <v>5</v>
      </c>
    </row>
    <row r="2308" spans="1:19" x14ac:dyDescent="0.25">
      <c r="A2308" t="s">
        <v>5251</v>
      </c>
      <c r="C2308" t="s">
        <v>3746</v>
      </c>
      <c r="D2308">
        <v>1</v>
      </c>
      <c r="H2308">
        <f t="shared" si="36"/>
        <v>0</v>
      </c>
      <c r="I2308" t="s">
        <v>2</v>
      </c>
    </row>
    <row r="2309" spans="1:19" x14ac:dyDescent="0.25">
      <c r="A2309" t="s">
        <v>5251</v>
      </c>
      <c r="C2309" t="s">
        <v>3747</v>
      </c>
      <c r="D2309" t="s">
        <v>25</v>
      </c>
      <c r="E2309" t="s">
        <v>3748</v>
      </c>
      <c r="H2309" t="str">
        <f t="shared" si="36"/>
        <v>Play sounds from the game sounds txt file at a given location</v>
      </c>
    </row>
    <row r="2310" spans="1:19" x14ac:dyDescent="0.25">
      <c r="A2310" t="s">
        <v>5251</v>
      </c>
      <c r="C2310" t="s">
        <v>3749</v>
      </c>
      <c r="D2310">
        <v>1</v>
      </c>
      <c r="H2310">
        <f t="shared" si="36"/>
        <v>0</v>
      </c>
      <c r="L2310" t="s">
        <v>5</v>
      </c>
    </row>
    <row r="2311" spans="1:19" x14ac:dyDescent="0.25">
      <c r="A2311" t="s">
        <v>5251</v>
      </c>
      <c r="C2311" t="s">
        <v>3750</v>
      </c>
      <c r="D2311">
        <v>1</v>
      </c>
      <c r="E2311" t="s">
        <v>3751</v>
      </c>
      <c r="H2311" t="str">
        <f t="shared" si="36"/>
        <v>Prefetch common sounds from directories specified in scripts/sound_prefetch.txt</v>
      </c>
    </row>
    <row r="2312" spans="1:19" x14ac:dyDescent="0.25">
      <c r="A2312" t="s">
        <v>5251</v>
      </c>
      <c r="C2312" t="s">
        <v>3752</v>
      </c>
      <c r="D2312" t="s">
        <v>25</v>
      </c>
      <c r="E2312" t="s">
        <v>3753</v>
      </c>
      <c r="H2312" t="str">
        <f t="shared" si="36"/>
        <v>Prints the content of a channel from its guid. snd_print_channel_by_guid &lt;guid&gt;.</v>
      </c>
    </row>
    <row r="2313" spans="1:19" x14ac:dyDescent="0.25">
      <c r="A2313" t="s">
        <v>5251</v>
      </c>
      <c r="C2313" t="s">
        <v>3754</v>
      </c>
      <c r="D2313" t="s">
        <v>25</v>
      </c>
      <c r="E2313" t="s">
        <v>3755</v>
      </c>
      <c r="H2313" t="str">
        <f t="shared" si="36"/>
        <v>Prints the content of a channel from its index. snd_print_channel_by_index &lt;index&gt;.</v>
      </c>
    </row>
    <row r="2314" spans="1:19" x14ac:dyDescent="0.25">
      <c r="A2314" t="s">
        <v>5251</v>
      </c>
      <c r="C2314" t="s">
        <v>3756</v>
      </c>
      <c r="D2314" t="s">
        <v>25</v>
      </c>
      <c r="E2314" t="s">
        <v>3757</v>
      </c>
      <c r="H2314" t="str">
        <f t="shared" si="36"/>
        <v>Prints all the active channel.</v>
      </c>
    </row>
    <row r="2315" spans="1:19" x14ac:dyDescent="0.25">
      <c r="A2315" t="s">
        <v>5251</v>
      </c>
      <c r="C2315" t="s">
        <v>3758</v>
      </c>
      <c r="D2315" t="s">
        <v>25</v>
      </c>
      <c r="E2315" t="s">
        <v>3759</v>
      </c>
      <c r="H2315" t="str">
        <f t="shared" si="36"/>
        <v>Prints the content of a dsp effect.</v>
      </c>
    </row>
    <row r="2316" spans="1:19" x14ac:dyDescent="0.25">
      <c r="A2316" t="s">
        <v>5251</v>
      </c>
      <c r="C2316" t="s">
        <v>3760</v>
      </c>
      <c r="D2316" t="s">
        <v>25</v>
      </c>
      <c r="E2316" t="s">
        <v>3761</v>
      </c>
      <c r="H2316" t="str">
        <f t="shared" si="36"/>
        <v>Specifies the position  (in degrees) of the virtual rear left/right headphones.</v>
      </c>
    </row>
    <row r="2317" spans="1:19" x14ac:dyDescent="0.25">
      <c r="A2317" t="s">
        <v>5251</v>
      </c>
      <c r="C2317" t="s">
        <v>3762</v>
      </c>
      <c r="D2317">
        <v>1</v>
      </c>
      <c r="E2317" t="s">
        <v>3763</v>
      </c>
      <c r="H2317" t="str">
        <f t="shared" si="36"/>
        <v>How much to scale rear speaker contribution to front stereo output</v>
      </c>
      <c r="L2317" t="s">
        <v>5</v>
      </c>
    </row>
    <row r="2318" spans="1:19" x14ac:dyDescent="0.25">
      <c r="A2318" t="s">
        <v>5251</v>
      </c>
      <c r="C2318" t="s">
        <v>3764</v>
      </c>
      <c r="D2318" t="s">
        <v>25</v>
      </c>
      <c r="E2318" t="s">
        <v>3765</v>
      </c>
      <c r="H2318" t="str">
        <f t="shared" si="36"/>
        <v>Specifies the position (in degrees) of the virtual rear left/right speakers.</v>
      </c>
    </row>
    <row r="2319" spans="1:19" x14ac:dyDescent="0.25">
      <c r="A2319" t="s">
        <v>5251</v>
      </c>
      <c r="C2319" t="s">
        <v>3766</v>
      </c>
      <c r="D2319" t="s">
        <v>25</v>
      </c>
      <c r="E2319" t="s">
        <v>3765</v>
      </c>
      <c r="H2319" t="str">
        <f t="shared" si="36"/>
        <v>Specifies the position (in degrees) of the virtual rear left/right speakers.</v>
      </c>
    </row>
    <row r="2320" spans="1:19" x14ac:dyDescent="0.25">
      <c r="A2320" t="s">
        <v>5251</v>
      </c>
      <c r="C2320" t="s">
        <v>3767</v>
      </c>
      <c r="D2320">
        <v>60</v>
      </c>
      <c r="E2320" t="s">
        <v>3768</v>
      </c>
      <c r="H2320" t="str">
        <f t="shared" si="36"/>
        <v>Reference dB at snd_refdist</v>
      </c>
      <c r="L2320" t="s">
        <v>5</v>
      </c>
    </row>
    <row r="2321" spans="1:12" x14ac:dyDescent="0.25">
      <c r="A2321" t="s">
        <v>5251</v>
      </c>
      <c r="C2321" t="s">
        <v>3769</v>
      </c>
      <c r="D2321">
        <v>36</v>
      </c>
      <c r="E2321" t="s">
        <v>3770</v>
      </c>
      <c r="H2321" t="str">
        <f t="shared" si="36"/>
        <v>Reference distance for snd_refdb</v>
      </c>
      <c r="L2321" t="s">
        <v>5</v>
      </c>
    </row>
    <row r="2322" spans="1:12" x14ac:dyDescent="0.25">
      <c r="A2322" t="s">
        <v>5251</v>
      </c>
      <c r="C2322" t="s">
        <v>3771</v>
      </c>
      <c r="D2322">
        <v>0</v>
      </c>
      <c r="E2322" t="s">
        <v>3772</v>
      </c>
      <c r="H2322" t="str">
        <f t="shared" si="36"/>
        <v>If set to 1, report all sound formats.</v>
      </c>
      <c r="L2322" t="s">
        <v>5</v>
      </c>
    </row>
    <row r="2323" spans="1:12" x14ac:dyDescent="0.25">
      <c r="A2323" t="s">
        <v>5251</v>
      </c>
      <c r="C2323" t="s">
        <v>3773</v>
      </c>
      <c r="D2323">
        <v>0</v>
      </c>
      <c r="E2323" t="s">
        <v>3774</v>
      </c>
      <c r="H2323" t="str">
        <f t="shared" si="36"/>
        <v>If set to 1, report all sounds that just looped.</v>
      </c>
      <c r="L2323" t="s">
        <v>5</v>
      </c>
    </row>
    <row r="2324" spans="1:12" x14ac:dyDescent="0.25">
      <c r="A2324" t="s">
        <v>5251</v>
      </c>
      <c r="C2324" t="s">
        <v>3775</v>
      </c>
      <c r="D2324">
        <v>0</v>
      </c>
      <c r="E2324" t="s">
        <v>3776</v>
      </c>
      <c r="H2324" t="str">
        <f t="shared" si="36"/>
        <v>If set to 1, report all sounds played with S_StartSound(). The sound may not end up being played (if error occurred for example</v>
      </c>
      <c r="L2324" t="s">
        <v>5</v>
      </c>
    </row>
    <row r="2325" spans="1:12" x14ac:dyDescent="0.25">
      <c r="A2325" t="s">
        <v>5251</v>
      </c>
      <c r="C2325" t="s">
        <v>3777</v>
      </c>
      <c r="D2325">
        <v>0</v>
      </c>
      <c r="E2325" t="s">
        <v>3778</v>
      </c>
      <c r="H2325" t="str">
        <f t="shared" si="36"/>
        <v>If set to 1, report all sounds stopped with S_StopSound().</v>
      </c>
      <c r="L2325" t="s">
        <v>5</v>
      </c>
    </row>
    <row r="2326" spans="1:12" x14ac:dyDescent="0.25">
      <c r="A2326" t="s">
        <v>5251</v>
      </c>
      <c r="C2326" t="s">
        <v>3779</v>
      </c>
      <c r="D2326">
        <v>0</v>
      </c>
      <c r="E2326" t="s">
        <v>3780</v>
      </c>
      <c r="H2326" t="str">
        <f t="shared" si="36"/>
        <v>If set to 1, report more error found when playing sounds.</v>
      </c>
      <c r="L2326" t="s">
        <v>5</v>
      </c>
    </row>
    <row r="2327" spans="1:12" x14ac:dyDescent="0.25">
      <c r="A2327" t="s">
        <v>5251</v>
      </c>
      <c r="C2327" t="s">
        <v>3781</v>
      </c>
      <c r="D2327" t="s">
        <v>25</v>
      </c>
      <c r="E2327" t="s">
        <v>3782</v>
      </c>
      <c r="H2327" t="str">
        <f t="shared" si="36"/>
        <v>Restart sound system.</v>
      </c>
    </row>
    <row r="2328" spans="1:12" x14ac:dyDescent="0.25">
      <c r="A2328" t="s">
        <v>5251</v>
      </c>
      <c r="C2328" t="s">
        <v>3783</v>
      </c>
      <c r="D2328">
        <v>0</v>
      </c>
      <c r="E2328" t="s">
        <v>3784</v>
      </c>
      <c r="H2328" t="str">
        <f t="shared" si="36"/>
        <v>Relative volume of round end music.</v>
      </c>
      <c r="I2328" t="s">
        <v>2</v>
      </c>
    </row>
    <row r="2329" spans="1:12" x14ac:dyDescent="0.25">
      <c r="A2329" t="s">
        <v>5251</v>
      </c>
      <c r="C2329" t="s">
        <v>3785</v>
      </c>
      <c r="D2329">
        <v>0</v>
      </c>
      <c r="E2329" t="s">
        <v>3786</v>
      </c>
      <c r="H2329" t="str">
        <f t="shared" si="36"/>
        <v>Relative volume of round start music.</v>
      </c>
      <c r="I2329" t="s">
        <v>2</v>
      </c>
    </row>
    <row r="2330" spans="1:12" x14ac:dyDescent="0.25">
      <c r="A2330" t="s">
        <v>5251</v>
      </c>
      <c r="C2330" t="s">
        <v>3787</v>
      </c>
      <c r="D2330" t="s">
        <v>25</v>
      </c>
      <c r="E2330" t="s">
        <v>3788</v>
      </c>
      <c r="H2330" t="str">
        <f t="shared" si="36"/>
        <v>Sets the master volume for a channel. snd_set_master_volume &lt;guid&gt; &lt;mastervolume&gt;.</v>
      </c>
    </row>
    <row r="2331" spans="1:12" x14ac:dyDescent="0.25">
      <c r="A2331" t="s">
        <v>5251</v>
      </c>
      <c r="C2331" t="s">
        <v>3789</v>
      </c>
      <c r="D2331" t="s">
        <v>25</v>
      </c>
      <c r="E2331" t="s">
        <v>3790</v>
      </c>
      <c r="H2331" t="str">
        <f t="shared" si="36"/>
        <v>Set named Mixgroup of current mixer to mix vol, mute, solo.</v>
      </c>
    </row>
    <row r="2332" spans="1:12" x14ac:dyDescent="0.25">
      <c r="A2332" t="s">
        <v>5251</v>
      </c>
      <c r="C2332" t="s">
        <v>3791</v>
      </c>
      <c r="D2332" t="s">
        <v>25</v>
      </c>
      <c r="E2332" t="s">
        <v>3792</v>
      </c>
      <c r="H2332" t="str">
        <f t="shared" si="36"/>
        <v>Set named Mixgroup of named mix layer to mix vol, mute, solo.</v>
      </c>
    </row>
    <row r="2333" spans="1:12" x14ac:dyDescent="0.25">
      <c r="A2333" t="s">
        <v>5251</v>
      </c>
      <c r="C2333" t="s">
        <v>3793</v>
      </c>
      <c r="D2333" t="s">
        <v>25</v>
      </c>
      <c r="E2333" t="s">
        <v>3794</v>
      </c>
      <c r="H2333" t="str">
        <f t="shared" si="36"/>
        <v>Set named mix layer mix amount.</v>
      </c>
    </row>
    <row r="2334" spans="1:12" x14ac:dyDescent="0.25">
      <c r="A2334" t="s">
        <v>5251</v>
      </c>
      <c r="C2334" t="s">
        <v>3795</v>
      </c>
      <c r="D2334">
        <v>0</v>
      </c>
      <c r="E2334" t="s">
        <v>3796</v>
      </c>
      <c r="H2334" t="str">
        <f t="shared" si="36"/>
        <v>Show sounds info</v>
      </c>
      <c r="L2334" t="s">
        <v>5</v>
      </c>
    </row>
    <row r="2335" spans="1:12" x14ac:dyDescent="0.25">
      <c r="A2335" t="s">
        <v>5251</v>
      </c>
      <c r="C2335" t="s">
        <v>3797</v>
      </c>
      <c r="D2335">
        <v>0</v>
      </c>
      <c r="E2335" t="s">
        <v>3798</v>
      </c>
      <c r="H2335" t="str">
        <f t="shared" si="36"/>
        <v>Limit debug sounds to those containing this substring</v>
      </c>
      <c r="L2335" t="s">
        <v>5</v>
      </c>
    </row>
    <row r="2336" spans="1:12" x14ac:dyDescent="0.25">
      <c r="A2336" t="s">
        <v>5251</v>
      </c>
      <c r="C2336" t="s">
        <v>3799</v>
      </c>
      <c r="D2336">
        <v>0</v>
      </c>
      <c r="E2336" t="s">
        <v>3800</v>
      </c>
      <c r="H2336" t="str">
        <f t="shared" si="36"/>
        <v>Print to console the sounds that are normally printed on screen only. 1 = print to console and to screen; 2 = print only to con</v>
      </c>
      <c r="L2336" t="s">
        <v>5</v>
      </c>
    </row>
    <row r="2337" spans="1:24" x14ac:dyDescent="0.25">
      <c r="A2337" t="s">
        <v>5251</v>
      </c>
      <c r="C2337" t="s">
        <v>3801</v>
      </c>
      <c r="D2337">
        <v>0</v>
      </c>
      <c r="H2337">
        <f t="shared" si="36"/>
        <v>0</v>
      </c>
      <c r="L2337" t="s">
        <v>5</v>
      </c>
    </row>
    <row r="2338" spans="1:24" x14ac:dyDescent="0.25">
      <c r="A2338" t="s">
        <v>5251</v>
      </c>
      <c r="C2338" t="s">
        <v>3802</v>
      </c>
      <c r="D2338">
        <v>0</v>
      </c>
      <c r="H2338">
        <f t="shared" si="36"/>
        <v>0</v>
      </c>
      <c r="L2338" t="s">
        <v>5</v>
      </c>
    </row>
    <row r="2339" spans="1:24" x14ac:dyDescent="0.25">
      <c r="A2339" t="s">
        <v>5251</v>
      </c>
      <c r="C2339" t="s">
        <v>3803</v>
      </c>
      <c r="D2339">
        <v>0</v>
      </c>
      <c r="H2339">
        <f t="shared" si="36"/>
        <v>0</v>
      </c>
      <c r="L2339" t="s">
        <v>5</v>
      </c>
    </row>
    <row r="2340" spans="1:24" x14ac:dyDescent="0.25">
      <c r="A2340" t="s">
        <v>5251</v>
      </c>
      <c r="C2340" t="s">
        <v>3804</v>
      </c>
      <c r="D2340" t="s">
        <v>25</v>
      </c>
      <c r="E2340" t="s">
        <v>3805</v>
      </c>
      <c r="H2340" t="str">
        <f t="shared" si="36"/>
        <v>Flush and re-parse the sound operator system</v>
      </c>
    </row>
    <row r="2341" spans="1:24" x14ac:dyDescent="0.25">
      <c r="A2341" t="s">
        <v>5251</v>
      </c>
      <c r="C2341" t="s">
        <v>3806</v>
      </c>
      <c r="D2341">
        <v>0</v>
      </c>
      <c r="H2341">
        <f t="shared" si="36"/>
        <v>0</v>
      </c>
      <c r="L2341" t="s">
        <v>5</v>
      </c>
    </row>
    <row r="2342" spans="1:24" x14ac:dyDescent="0.25">
      <c r="A2342" t="s">
        <v>5251</v>
      </c>
      <c r="C2342" t="s">
        <v>3807</v>
      </c>
      <c r="D2342" t="s">
        <v>25</v>
      </c>
      <c r="E2342" t="s">
        <v>3808</v>
      </c>
      <c r="H2342" t="str">
        <f t="shared" si="36"/>
        <v>Prints a list of currently available operators</v>
      </c>
    </row>
    <row r="2343" spans="1:24" x14ac:dyDescent="0.25">
      <c r="A2343" t="s">
        <v>5251</v>
      </c>
      <c r="C2343" t="s">
        <v>3809</v>
      </c>
      <c r="D2343">
        <v>0</v>
      </c>
      <c r="E2343" t="s">
        <v>3810</v>
      </c>
      <c r="H2343" t="str">
        <f t="shared" si="36"/>
        <v>Spew data about the list of block entries.</v>
      </c>
      <c r="L2343" t="s">
        <v>5</v>
      </c>
    </row>
    <row r="2344" spans="1:24" x14ac:dyDescent="0.25">
      <c r="A2344" t="s">
        <v>5251</v>
      </c>
      <c r="C2344" t="s">
        <v>3811</v>
      </c>
      <c r="D2344">
        <v>0</v>
      </c>
      <c r="H2344">
        <f t="shared" si="36"/>
        <v>0</v>
      </c>
      <c r="L2344" t="s">
        <v>5</v>
      </c>
    </row>
    <row r="2345" spans="1:24" x14ac:dyDescent="0.25">
      <c r="A2345" t="s">
        <v>5251</v>
      </c>
      <c r="C2345" t="s">
        <v>3812</v>
      </c>
      <c r="D2345">
        <v>0</v>
      </c>
      <c r="H2345">
        <f t="shared" si="36"/>
        <v>0</v>
      </c>
      <c r="L2345" t="s">
        <v>5</v>
      </c>
      <c r="X2345" t="s">
        <v>17</v>
      </c>
    </row>
    <row r="2346" spans="1:24" x14ac:dyDescent="0.25">
      <c r="A2346" t="s">
        <v>5251</v>
      </c>
      <c r="C2346" t="s">
        <v>3813</v>
      </c>
      <c r="D2346">
        <v>0</v>
      </c>
      <c r="H2346">
        <f t="shared" si="36"/>
        <v>0</v>
      </c>
      <c r="L2346" t="s">
        <v>5</v>
      </c>
    </row>
    <row r="2347" spans="1:24" x14ac:dyDescent="0.25">
      <c r="A2347" t="s">
        <v>5251</v>
      </c>
      <c r="C2347" t="s">
        <v>3814</v>
      </c>
      <c r="D2347">
        <v>0</v>
      </c>
      <c r="H2347">
        <f t="shared" si="36"/>
        <v>0</v>
      </c>
      <c r="L2347" t="s">
        <v>5</v>
      </c>
    </row>
    <row r="2348" spans="1:24" x14ac:dyDescent="0.25">
      <c r="A2348" t="s">
        <v>5251</v>
      </c>
      <c r="C2348" t="s">
        <v>3815</v>
      </c>
      <c r="D2348">
        <v>0</v>
      </c>
      <c r="H2348">
        <f t="shared" si="36"/>
        <v>0</v>
      </c>
      <c r="L2348" t="s">
        <v>5</v>
      </c>
    </row>
    <row r="2349" spans="1:24" x14ac:dyDescent="0.25">
      <c r="A2349" t="s">
        <v>5251</v>
      </c>
      <c r="C2349" t="s">
        <v>3816</v>
      </c>
      <c r="D2349">
        <v>0</v>
      </c>
      <c r="H2349">
        <f t="shared" si="36"/>
        <v>0</v>
      </c>
      <c r="L2349" t="s">
        <v>5</v>
      </c>
    </row>
    <row r="2350" spans="1:24" x14ac:dyDescent="0.25">
      <c r="A2350" t="s">
        <v>5251</v>
      </c>
      <c r="C2350" t="s">
        <v>3817</v>
      </c>
      <c r="D2350">
        <v>0</v>
      </c>
      <c r="H2350">
        <f t="shared" si="36"/>
        <v>0</v>
      </c>
      <c r="L2350" t="s">
        <v>5</v>
      </c>
    </row>
    <row r="2351" spans="1:24" x14ac:dyDescent="0.25">
      <c r="A2351" t="s">
        <v>5251</v>
      </c>
      <c r="C2351" t="s">
        <v>3818</v>
      </c>
      <c r="D2351">
        <v>0</v>
      </c>
      <c r="H2351">
        <f t="shared" si="36"/>
        <v>0</v>
      </c>
      <c r="L2351" t="s">
        <v>5</v>
      </c>
    </row>
    <row r="2352" spans="1:24" x14ac:dyDescent="0.25">
      <c r="A2352" t="s">
        <v>5251</v>
      </c>
      <c r="C2352" t="s">
        <v>3819</v>
      </c>
      <c r="D2352">
        <v>0</v>
      </c>
      <c r="H2352">
        <f t="shared" si="36"/>
        <v>0</v>
      </c>
      <c r="L2352" t="s">
        <v>5</v>
      </c>
    </row>
    <row r="2353" spans="1:12" x14ac:dyDescent="0.25">
      <c r="A2353" t="s">
        <v>5251</v>
      </c>
      <c r="C2353" t="s">
        <v>3820</v>
      </c>
      <c r="D2353">
        <v>0</v>
      </c>
      <c r="H2353">
        <f t="shared" si="36"/>
        <v>0</v>
      </c>
      <c r="L2353" t="s">
        <v>5</v>
      </c>
    </row>
    <row r="2354" spans="1:12" x14ac:dyDescent="0.25">
      <c r="A2354" t="s">
        <v>5251</v>
      </c>
      <c r="C2354" t="s">
        <v>3821</v>
      </c>
      <c r="D2354">
        <v>0</v>
      </c>
      <c r="H2354">
        <f t="shared" si="36"/>
        <v>0</v>
      </c>
      <c r="L2354" t="s">
        <v>5</v>
      </c>
    </row>
    <row r="2355" spans="1:12" x14ac:dyDescent="0.25">
      <c r="A2355" t="s">
        <v>5251</v>
      </c>
      <c r="C2355" t="s">
        <v>3822</v>
      </c>
      <c r="D2355">
        <v>0</v>
      </c>
      <c r="H2355">
        <f t="shared" si="36"/>
        <v>0</v>
      </c>
      <c r="K2355" t="s">
        <v>4</v>
      </c>
      <c r="L2355" t="s">
        <v>5</v>
      </c>
    </row>
    <row r="2356" spans="1:12" x14ac:dyDescent="0.25">
      <c r="A2356" t="s">
        <v>5251</v>
      </c>
      <c r="C2356" t="s">
        <v>3823</v>
      </c>
      <c r="D2356">
        <v>0</v>
      </c>
      <c r="H2356">
        <f t="shared" si="36"/>
        <v>0</v>
      </c>
      <c r="L2356" t="s">
        <v>5</v>
      </c>
    </row>
    <row r="2357" spans="1:12" x14ac:dyDescent="0.25">
      <c r="A2357" t="s">
        <v>5251</v>
      </c>
      <c r="C2357" t="s">
        <v>3824</v>
      </c>
      <c r="D2357" t="s">
        <v>25</v>
      </c>
      <c r="E2357" t="s">
        <v>3825</v>
      </c>
      <c r="H2357" t="str">
        <f t="shared" si="36"/>
        <v>Reload soundmixers.txt file.</v>
      </c>
    </row>
    <row r="2358" spans="1:12" x14ac:dyDescent="0.25">
      <c r="A2358" t="s">
        <v>5251</v>
      </c>
      <c r="C2358" t="s">
        <v>3826</v>
      </c>
      <c r="D2358" t="s">
        <v>25</v>
      </c>
      <c r="E2358" t="s">
        <v>3827</v>
      </c>
      <c r="H2358" t="str">
        <f t="shared" si="36"/>
        <v>List all mix groups to dev console.</v>
      </c>
    </row>
    <row r="2359" spans="1:12" x14ac:dyDescent="0.25">
      <c r="A2359" t="s">
        <v>5251</v>
      </c>
      <c r="C2359" t="s">
        <v>3828</v>
      </c>
      <c r="D2359" t="s">
        <v>25</v>
      </c>
      <c r="E2359" t="s">
        <v>3829</v>
      </c>
      <c r="H2359" t="str">
        <f t="shared" si="36"/>
        <v>List all mix layers to dev console.</v>
      </c>
    </row>
    <row r="2360" spans="1:12" x14ac:dyDescent="0.25">
      <c r="A2360" t="s">
        <v>5251</v>
      </c>
      <c r="C2360" t="s">
        <v>3830</v>
      </c>
      <c r="D2360" t="s">
        <v>25</v>
      </c>
      <c r="E2360" t="s">
        <v>3831</v>
      </c>
      <c r="H2360" t="str">
        <f t="shared" si="36"/>
        <v>List all mixers to dev console.</v>
      </c>
    </row>
    <row r="2361" spans="1:12" x14ac:dyDescent="0.25">
      <c r="A2361" t="s">
        <v>5251</v>
      </c>
      <c r="C2361" t="s">
        <v>3832</v>
      </c>
      <c r="D2361" t="s">
        <v>25</v>
      </c>
      <c r="E2361" t="s">
        <v>3833</v>
      </c>
      <c r="H2361" t="str">
        <f t="shared" si="36"/>
        <v>Set named mix layer / mix group, trigger amount.</v>
      </c>
    </row>
    <row r="2362" spans="1:12" x14ac:dyDescent="0.25">
      <c r="A2362" t="s">
        <v>5251</v>
      </c>
      <c r="C2362" t="s">
        <v>3834</v>
      </c>
      <c r="D2362" t="s">
        <v>25</v>
      </c>
      <c r="E2362" t="s">
        <v>3835</v>
      </c>
      <c r="H2362" t="str">
        <f t="shared" si="36"/>
        <v>Specifies the exponent for the pan xfade from speaker to speaker if the 'exp' pan law is being used.</v>
      </c>
    </row>
    <row r="2363" spans="1:12" x14ac:dyDescent="0.25">
      <c r="A2363" t="s">
        <v>5251</v>
      </c>
      <c r="C2363" t="s">
        <v>3836</v>
      </c>
      <c r="D2363" t="s">
        <v>25</v>
      </c>
      <c r="E2363" t="s">
        <v>3702</v>
      </c>
      <c r="H2363" t="str">
        <f t="shared" si="36"/>
        <v>Apply cos(angle) * weight before pan law</v>
      </c>
    </row>
    <row r="2364" spans="1:12" x14ac:dyDescent="0.25">
      <c r="A2364" t="s">
        <v>5251</v>
      </c>
      <c r="C2364" t="s">
        <v>3837</v>
      </c>
      <c r="D2364" t="s">
        <v>25</v>
      </c>
      <c r="E2364" t="s">
        <v>3835</v>
      </c>
      <c r="H2364" t="str">
        <f t="shared" si="36"/>
        <v>Specifies the exponent for the pan xfade from speaker to speaker if the 'exp' pan law is being used.</v>
      </c>
    </row>
    <row r="2365" spans="1:12" x14ac:dyDescent="0.25">
      <c r="A2365" t="s">
        <v>5251</v>
      </c>
      <c r="C2365" t="s">
        <v>3838</v>
      </c>
      <c r="D2365" t="s">
        <v>25</v>
      </c>
      <c r="E2365" t="s">
        <v>3702</v>
      </c>
      <c r="H2365" t="str">
        <f t="shared" si="36"/>
        <v>Apply cos(angle) * weight before pan law</v>
      </c>
    </row>
    <row r="2366" spans="1:12" x14ac:dyDescent="0.25">
      <c r="A2366" t="s">
        <v>5251</v>
      </c>
      <c r="C2366" t="s">
        <v>3839</v>
      </c>
      <c r="D2366">
        <v>5</v>
      </c>
      <c r="H2366">
        <f t="shared" si="36"/>
        <v>0</v>
      </c>
      <c r="I2366" t="s">
        <v>2</v>
      </c>
    </row>
    <row r="2367" spans="1:12" x14ac:dyDescent="0.25">
      <c r="A2367" t="s">
        <v>5251</v>
      </c>
      <c r="C2367" t="s">
        <v>3840</v>
      </c>
      <c r="D2367">
        <v>0</v>
      </c>
      <c r="E2367" t="s">
        <v>3841</v>
      </c>
      <c r="H2367" t="str">
        <f t="shared" si="36"/>
        <v>Relative volume of ten second warning music.</v>
      </c>
      <c r="I2367" t="s">
        <v>2</v>
      </c>
    </row>
    <row r="2368" spans="1:12" x14ac:dyDescent="0.25">
      <c r="A2368" t="s">
        <v>5251</v>
      </c>
      <c r="C2368" t="s">
        <v>3842</v>
      </c>
      <c r="D2368">
        <v>0</v>
      </c>
      <c r="E2368" t="s">
        <v>3843</v>
      </c>
      <c r="H2368" t="str">
        <f t="shared" si="36"/>
        <v>Show sounds location in world</v>
      </c>
      <c r="L2368" t="s">
        <v>5</v>
      </c>
    </row>
    <row r="2369" spans="1:24" x14ac:dyDescent="0.25">
      <c r="A2369" t="s">
        <v>5251</v>
      </c>
      <c r="C2369" t="s">
        <v>3844</v>
      </c>
      <c r="D2369" t="s">
        <v>25</v>
      </c>
      <c r="E2369" t="s">
        <v>3845</v>
      </c>
      <c r="H2369" t="str">
        <f t="shared" si="36"/>
        <v>If running a game, outputs the precache manifest for the current level</v>
      </c>
    </row>
    <row r="2370" spans="1:24" x14ac:dyDescent="0.25">
      <c r="A2370" t="s">
        <v>5251</v>
      </c>
      <c r="C2370" t="s">
        <v>3846</v>
      </c>
      <c r="D2370" t="s">
        <v>25</v>
      </c>
      <c r="H2370">
        <f t="shared" si="36"/>
        <v>0</v>
      </c>
    </row>
    <row r="2371" spans="1:24" x14ac:dyDescent="0.25">
      <c r="A2371" t="s">
        <v>5251</v>
      </c>
      <c r="C2371" t="s">
        <v>3847</v>
      </c>
      <c r="D2371" t="s">
        <v>25</v>
      </c>
      <c r="E2371" t="s">
        <v>3848</v>
      </c>
      <c r="H2371" t="str">
        <f t="shared" ref="H2371:H2434" si="37">IF(F2371="",E2371, F2371 &amp; " - Original Helptext: " &amp;E2371)</f>
        <v>Lists all available audio devices.</v>
      </c>
    </row>
    <row r="2372" spans="1:24" x14ac:dyDescent="0.25">
      <c r="A2372" t="s">
        <v>5251</v>
      </c>
      <c r="C2372" t="s">
        <v>3849</v>
      </c>
      <c r="D2372">
        <v>0</v>
      </c>
      <c r="E2372" t="s">
        <v>3850</v>
      </c>
      <c r="H2372" t="str">
        <f t="shared" si="37"/>
        <v>ID of the sound device to use</v>
      </c>
      <c r="I2372" t="s">
        <v>2</v>
      </c>
    </row>
    <row r="2373" spans="1:24" x14ac:dyDescent="0.25">
      <c r="A2373" t="s">
        <v>5251</v>
      </c>
      <c r="C2373" t="s">
        <v>3851</v>
      </c>
      <c r="D2373" t="s">
        <v>25</v>
      </c>
      <c r="E2373" t="s">
        <v>3852</v>
      </c>
      <c r="H2373" t="str">
        <f t="shared" si="37"/>
        <v>Fade client volume.</v>
      </c>
    </row>
    <row r="2374" spans="1:24" x14ac:dyDescent="0.25">
      <c r="A2374" t="s">
        <v>5251</v>
      </c>
      <c r="C2374" t="s">
        <v>3853</v>
      </c>
      <c r="D2374" t="s">
        <v>25</v>
      </c>
      <c r="E2374" t="s">
        <v>3854</v>
      </c>
      <c r="H2374" t="str">
        <f t="shared" si="37"/>
        <v>Describe the current sound device.</v>
      </c>
    </row>
    <row r="2375" spans="1:24" x14ac:dyDescent="0.25">
      <c r="A2375" t="s">
        <v>5251</v>
      </c>
      <c r="C2375" t="s">
        <v>3855</v>
      </c>
      <c r="D2375" t="s">
        <v>25</v>
      </c>
      <c r="E2375" t="s">
        <v>3856</v>
      </c>
      <c r="H2375" t="str">
        <f t="shared" si="37"/>
        <v>List all known sounds.</v>
      </c>
    </row>
    <row r="2376" spans="1:24" x14ac:dyDescent="0.25">
      <c r="A2376" t="s">
        <v>5251</v>
      </c>
      <c r="C2376" t="s">
        <v>3857</v>
      </c>
      <c r="D2376">
        <v>0</v>
      </c>
      <c r="E2376" t="s">
        <v>3858</v>
      </c>
      <c r="H2376" t="str">
        <f t="shared" si="37"/>
        <v>When on, draws lines to all env_soundscape entities. Green lines show the active soundscape, red lines show soundscapes that ar</v>
      </c>
      <c r="K2376" t="s">
        <v>4</v>
      </c>
      <c r="L2376" t="s">
        <v>5</v>
      </c>
    </row>
    <row r="2377" spans="1:24" x14ac:dyDescent="0.25">
      <c r="A2377" t="s">
        <v>5251</v>
      </c>
      <c r="C2377" t="s">
        <v>3859</v>
      </c>
      <c r="D2377" t="s">
        <v>25</v>
      </c>
      <c r="E2377" t="s">
        <v>3860</v>
      </c>
      <c r="H2377" t="str">
        <f t="shared" si="37"/>
        <v>Dumps the client's soundscape data.</v>
      </c>
    </row>
    <row r="2378" spans="1:24" x14ac:dyDescent="0.25">
      <c r="A2378" t="s">
        <v>5251</v>
      </c>
      <c r="C2378" t="s">
        <v>3861</v>
      </c>
      <c r="D2378">
        <v>3</v>
      </c>
      <c r="E2378" t="s">
        <v>3862</v>
      </c>
      <c r="H2378" t="str">
        <f t="shared" si="37"/>
        <v>Time to crossfade sound effects between soundscapes</v>
      </c>
      <c r="L2378" t="s">
        <v>5</v>
      </c>
      <c r="X2378" t="s">
        <v>17</v>
      </c>
    </row>
    <row r="2379" spans="1:24" x14ac:dyDescent="0.25">
      <c r="A2379" t="s">
        <v>5251</v>
      </c>
      <c r="C2379" t="s">
        <v>3863</v>
      </c>
      <c r="D2379" t="s">
        <v>25</v>
      </c>
      <c r="E2379" t="s">
        <v>3864</v>
      </c>
      <c r="H2379" t="str">
        <f t="shared" si="37"/>
        <v>Flushes the server &amp; client side soundscapes</v>
      </c>
    </row>
    <row r="2380" spans="1:24" x14ac:dyDescent="0.25">
      <c r="A2380" t="s">
        <v>5251</v>
      </c>
      <c r="C2380" t="s">
        <v>3865</v>
      </c>
      <c r="D2380">
        <v>0</v>
      </c>
      <c r="E2380" t="s">
        <v>3866</v>
      </c>
      <c r="H2380" t="str">
        <f t="shared" si="37"/>
        <v>Prints current volume of radius sounds</v>
      </c>
      <c r="L2380" t="s">
        <v>5</v>
      </c>
      <c r="X2380" t="s">
        <v>17</v>
      </c>
    </row>
    <row r="2381" spans="1:24" x14ac:dyDescent="0.25">
      <c r="A2381" t="s">
        <v>5253</v>
      </c>
      <c r="C2381" t="s">
        <v>3867</v>
      </c>
      <c r="D2381" t="s">
        <v>25</v>
      </c>
      <c r="E2381" t="s">
        <v>3868</v>
      </c>
      <c r="H2381" t="str">
        <f t="shared" si="37"/>
        <v>Play a constructed sentence.</v>
      </c>
    </row>
    <row r="2382" spans="1:24" x14ac:dyDescent="0.25">
      <c r="A2382" t="s">
        <v>5251</v>
      </c>
      <c r="C2382" t="s">
        <v>3869</v>
      </c>
      <c r="D2382">
        <v>0</v>
      </c>
      <c r="E2382" t="s">
        <v>3870</v>
      </c>
      <c r="H2382" t="str">
        <f t="shared" si="37"/>
        <v>If nonzero, allow free-roaming spectator camera.</v>
      </c>
      <c r="K2382" t="s">
        <v>4</v>
      </c>
      <c r="L2382" t="s">
        <v>5</v>
      </c>
      <c r="S2382" t="s">
        <v>12</v>
      </c>
    </row>
    <row r="2383" spans="1:24" x14ac:dyDescent="0.25">
      <c r="A2383" t="s">
        <v>5251</v>
      </c>
      <c r="C2383" t="s">
        <v>3871</v>
      </c>
      <c r="D2383" t="s">
        <v>25</v>
      </c>
      <c r="E2383" t="s">
        <v>3872</v>
      </c>
      <c r="H2383" t="str">
        <f t="shared" si="37"/>
        <v>Client command to change the whether the spectator is using the cameraman's X-ray state, if they are active, or let the spectat</v>
      </c>
    </row>
    <row r="2384" spans="1:24" x14ac:dyDescent="0.25">
      <c r="A2384" t="s">
        <v>5251</v>
      </c>
      <c r="C2384" t="s">
        <v>3873</v>
      </c>
      <c r="D2384">
        <v>1</v>
      </c>
      <c r="E2384" t="s">
        <v>3874</v>
      </c>
      <c r="H2384" t="str">
        <f t="shared" si="37"/>
        <v>If set, will group players into their teams for spectating, if 0, spectating numbers will be the default individual players</v>
      </c>
      <c r="X2384" t="s">
        <v>17</v>
      </c>
    </row>
    <row r="2385" spans="1:24" x14ac:dyDescent="0.25">
      <c r="A2385" t="s">
        <v>5251</v>
      </c>
      <c r="C2385" t="s">
        <v>3875</v>
      </c>
      <c r="D2385">
        <v>1</v>
      </c>
      <c r="H2385">
        <f t="shared" si="37"/>
        <v>0</v>
      </c>
      <c r="L2385" t="s">
        <v>5</v>
      </c>
      <c r="X2385" t="s">
        <v>17</v>
      </c>
    </row>
    <row r="2386" spans="1:24" x14ac:dyDescent="0.25">
      <c r="A2386" t="s">
        <v>5251</v>
      </c>
      <c r="C2386" t="s">
        <v>3876</v>
      </c>
      <c r="D2386">
        <v>1</v>
      </c>
      <c r="H2386">
        <f t="shared" si="37"/>
        <v>0</v>
      </c>
      <c r="L2386" t="s">
        <v>5</v>
      </c>
      <c r="X2386" t="s">
        <v>17</v>
      </c>
    </row>
    <row r="2387" spans="1:24" x14ac:dyDescent="0.25">
      <c r="A2387" t="s">
        <v>5251</v>
      </c>
      <c r="C2387" t="s">
        <v>3877</v>
      </c>
      <c r="D2387">
        <v>1</v>
      </c>
      <c r="H2387">
        <f t="shared" si="37"/>
        <v>0</v>
      </c>
      <c r="L2387" t="s">
        <v>5</v>
      </c>
      <c r="X2387" t="s">
        <v>17</v>
      </c>
    </row>
    <row r="2388" spans="1:24" x14ac:dyDescent="0.25">
      <c r="A2388" t="s">
        <v>5251</v>
      </c>
      <c r="C2388" t="s">
        <v>3878</v>
      </c>
      <c r="D2388">
        <v>2</v>
      </c>
      <c r="H2388">
        <f t="shared" si="37"/>
        <v>0</v>
      </c>
      <c r="L2388" t="s">
        <v>5</v>
      </c>
      <c r="X2388" t="s">
        <v>17</v>
      </c>
    </row>
    <row r="2389" spans="1:24" x14ac:dyDescent="0.25">
      <c r="A2389" t="s">
        <v>5251</v>
      </c>
      <c r="C2389" t="s">
        <v>3879</v>
      </c>
      <c r="D2389">
        <v>0</v>
      </c>
      <c r="E2389" t="s">
        <v>3880</v>
      </c>
      <c r="H2389" t="str">
        <f t="shared" si="37"/>
        <v>The time that the death cam will spend watching the player's ragdoll before going into the freeze death cam.</v>
      </c>
      <c r="S2389" t="s">
        <v>12</v>
      </c>
      <c r="X2389" t="s">
        <v>17</v>
      </c>
    </row>
    <row r="2390" spans="1:24" x14ac:dyDescent="0.25">
      <c r="A2390" t="s">
        <v>5251</v>
      </c>
      <c r="C2390" t="s">
        <v>3881</v>
      </c>
      <c r="D2390">
        <v>80</v>
      </c>
      <c r="E2390" t="s">
        <v>3882</v>
      </c>
      <c r="H2390" t="str">
        <f t="shared" si="37"/>
        <v>Maximum random distance from the target to stop when framing them in observer freeze cam.</v>
      </c>
      <c r="L2390" t="s">
        <v>5</v>
      </c>
      <c r="X2390" t="s">
        <v>17</v>
      </c>
    </row>
    <row r="2391" spans="1:24" x14ac:dyDescent="0.25">
      <c r="A2391" t="s">
        <v>5251</v>
      </c>
      <c r="C2391" t="s">
        <v>3883</v>
      </c>
      <c r="D2391">
        <v>60</v>
      </c>
      <c r="E2391" t="s">
        <v>3884</v>
      </c>
      <c r="H2391" t="str">
        <f t="shared" si="37"/>
        <v>Minimum random distance from the target to stop when framing them in observer freeze cam.</v>
      </c>
      <c r="L2391" t="s">
        <v>5</v>
      </c>
      <c r="X2391" t="s">
        <v>17</v>
      </c>
    </row>
    <row r="2392" spans="1:24" x14ac:dyDescent="0.25">
      <c r="A2392" t="s">
        <v>5251</v>
      </c>
      <c r="C2392" t="s">
        <v>3885</v>
      </c>
      <c r="D2392">
        <v>0</v>
      </c>
      <c r="E2392" t="s">
        <v>3886</v>
      </c>
      <c r="H2392" t="str">
        <f t="shared" si="37"/>
        <v>Time spent with the freeze panel still up after observer freeze cam is done.</v>
      </c>
      <c r="S2392" t="s">
        <v>12</v>
      </c>
      <c r="X2392" t="s">
        <v>17</v>
      </c>
    </row>
    <row r="2393" spans="1:24" x14ac:dyDescent="0.25">
      <c r="A2393" t="s">
        <v>5251</v>
      </c>
      <c r="C2393" t="s">
        <v>3887</v>
      </c>
      <c r="D2393">
        <v>42</v>
      </c>
      <c r="E2393" t="s">
        <v>3888</v>
      </c>
      <c r="H2393" t="str">
        <f t="shared" si="37"/>
        <v>The target FOV that the deathcam should use.</v>
      </c>
      <c r="L2393" t="s">
        <v>5</v>
      </c>
      <c r="S2393" t="s">
        <v>12</v>
      </c>
      <c r="X2393" t="s">
        <v>17</v>
      </c>
    </row>
    <row r="2394" spans="1:24" x14ac:dyDescent="0.25">
      <c r="A2394" t="s">
        <v>5251</v>
      </c>
      <c r="C2394" t="s">
        <v>3889</v>
      </c>
      <c r="D2394">
        <v>90</v>
      </c>
      <c r="E2394" t="s">
        <v>3890</v>
      </c>
      <c r="H2394" t="str">
        <f t="shared" si="37"/>
        <v>The target FOV that the deathcam should use when the cam zoom far away on the target.</v>
      </c>
      <c r="L2394" t="s">
        <v>5</v>
      </c>
      <c r="S2394" t="s">
        <v>12</v>
      </c>
      <c r="X2394" t="s">
        <v>17</v>
      </c>
    </row>
    <row r="2395" spans="1:24" x14ac:dyDescent="0.25">
      <c r="A2395" t="s">
        <v>5251</v>
      </c>
      <c r="C2395" t="s">
        <v>3891</v>
      </c>
      <c r="D2395">
        <v>3</v>
      </c>
      <c r="E2395" t="s">
        <v>3892</v>
      </c>
      <c r="H2395" t="str">
        <f t="shared" si="37"/>
        <v>Time spend frozen in observer freeze cam.</v>
      </c>
      <c r="S2395" t="s">
        <v>12</v>
      </c>
      <c r="X2395" t="s">
        <v>17</v>
      </c>
    </row>
    <row r="2396" spans="1:24" x14ac:dyDescent="0.25">
      <c r="A2396" t="s">
        <v>5251</v>
      </c>
      <c r="C2396" t="s">
        <v>3893</v>
      </c>
      <c r="D2396">
        <v>1</v>
      </c>
      <c r="E2396" t="s">
        <v>3894</v>
      </c>
      <c r="H2396" t="str">
        <f t="shared" si="37"/>
        <v>Time players are prevented from skipping the freeze cam</v>
      </c>
      <c r="K2396" t="s">
        <v>4</v>
      </c>
      <c r="S2396" t="s">
        <v>12</v>
      </c>
    </row>
    <row r="2397" spans="1:24" x14ac:dyDescent="0.25">
      <c r="A2397" t="s">
        <v>5251</v>
      </c>
      <c r="C2397" t="s">
        <v>3895</v>
      </c>
      <c r="D2397">
        <v>0</v>
      </c>
      <c r="E2397" t="s">
        <v>3896</v>
      </c>
      <c r="H2397" t="str">
        <f t="shared" si="37"/>
        <v>Time taken to zoom in to frame a target in observer freeze cam.</v>
      </c>
      <c r="S2397" t="s">
        <v>12</v>
      </c>
      <c r="X2397" t="s">
        <v>17</v>
      </c>
    </row>
    <row r="2398" spans="1:24" x14ac:dyDescent="0.25">
      <c r="A2398" t="s">
        <v>5251</v>
      </c>
      <c r="C2398" t="s">
        <v>3897</v>
      </c>
      <c r="D2398">
        <v>0</v>
      </c>
      <c r="E2398" t="s">
        <v>3898</v>
      </c>
      <c r="H2398" t="str">
        <f t="shared" si="37"/>
        <v>Time taken to zoom in to frame a target in observer freeze cam when they are far away.</v>
      </c>
      <c r="L2398" t="s">
        <v>5</v>
      </c>
      <c r="S2398" t="s">
        <v>12</v>
      </c>
      <c r="X2398" t="s">
        <v>17</v>
      </c>
    </row>
    <row r="2399" spans="1:24" x14ac:dyDescent="0.25">
      <c r="A2399" t="s">
        <v>5251</v>
      </c>
      <c r="C2399" t="s">
        <v>3899</v>
      </c>
      <c r="D2399">
        <v>2</v>
      </c>
      <c r="E2399" t="s">
        <v>3900</v>
      </c>
      <c r="H2399" t="str">
        <f t="shared" si="37"/>
        <v>Time to decay glow from 1.0 to spec_glow_silent_factor after spec_glow_full_time.</v>
      </c>
      <c r="X2399" t="s">
        <v>17</v>
      </c>
    </row>
    <row r="2400" spans="1:24" x14ac:dyDescent="0.25">
      <c r="A2400" t="s">
        <v>5251</v>
      </c>
      <c r="C2400" t="s">
        <v>3901</v>
      </c>
      <c r="D2400">
        <v>1</v>
      </c>
      <c r="E2400" t="s">
        <v>3902</v>
      </c>
      <c r="H2400" t="str">
        <f t="shared" si="37"/>
        <v>Noisy players stay at full brightness for this long.</v>
      </c>
      <c r="X2400" t="s">
        <v>17</v>
      </c>
    </row>
    <row r="2401" spans="1:24" x14ac:dyDescent="0.25">
      <c r="A2401" t="s">
        <v>5251</v>
      </c>
      <c r="C2401" t="s">
        <v>3903</v>
      </c>
      <c r="D2401">
        <v>0</v>
      </c>
      <c r="E2401" t="s">
        <v>3904</v>
      </c>
      <c r="H2401" t="str">
        <f t="shared" si="37"/>
        <v>Lurking player xray glow scaling.</v>
      </c>
      <c r="X2401" t="s">
        <v>17</v>
      </c>
    </row>
    <row r="2402" spans="1:24" x14ac:dyDescent="0.25">
      <c r="A2402" t="s">
        <v>5251</v>
      </c>
      <c r="C2402" t="s">
        <v>3905</v>
      </c>
      <c r="D2402">
        <v>1</v>
      </c>
      <c r="E2402" t="s">
        <v>3906</v>
      </c>
      <c r="H2402" t="str">
        <f t="shared" si="37"/>
        <v>Noisy player xray glow scaling (pop when noise is made).  Make &gt;1 to add a 'spike' to noise-making players</v>
      </c>
      <c r="X2402" t="s">
        <v>17</v>
      </c>
    </row>
    <row r="2403" spans="1:24" x14ac:dyDescent="0.25">
      <c r="A2403" t="s">
        <v>5251</v>
      </c>
      <c r="C2403" t="s">
        <v>3907</v>
      </c>
      <c r="D2403">
        <v>0</v>
      </c>
      <c r="E2403" t="s">
        <v>3908</v>
      </c>
      <c r="H2403" t="str">
        <f t="shared" si="37"/>
        <v>Time for noisy player glow 'spike' to show that they made noise very recently.</v>
      </c>
      <c r="X2403" t="s">
        <v>17</v>
      </c>
    </row>
    <row r="2404" spans="1:24" x14ac:dyDescent="0.25">
      <c r="A2404" t="s">
        <v>5251</v>
      </c>
      <c r="C2404" t="s">
        <v>3909</v>
      </c>
      <c r="D2404" t="s">
        <v>25</v>
      </c>
      <c r="E2404" t="s">
        <v>3910</v>
      </c>
      <c r="H2404" t="str">
        <f t="shared" si="37"/>
        <v>Move spectator to specified origin and eyes to specified pitch yaw.</v>
      </c>
    </row>
    <row r="2405" spans="1:24" x14ac:dyDescent="0.25">
      <c r="A2405" t="s">
        <v>5251</v>
      </c>
      <c r="C2405" t="s">
        <v>3911</v>
      </c>
      <c r="D2405" t="s">
        <v>25</v>
      </c>
      <c r="E2405" t="s">
        <v>3912</v>
      </c>
      <c r="H2405" t="str">
        <f t="shared" si="37"/>
        <v>Shows or hides the spectator bar</v>
      </c>
    </row>
    <row r="2406" spans="1:24" x14ac:dyDescent="0.25">
      <c r="A2406" t="s">
        <v>5251</v>
      </c>
      <c r="C2406" t="s">
        <v>3913</v>
      </c>
      <c r="D2406">
        <v>0</v>
      </c>
      <c r="E2406" t="s">
        <v>3914</v>
      </c>
      <c r="H2406" t="str">
        <f t="shared" si="37"/>
        <v>Toggle the visibility of scoreboard players.</v>
      </c>
      <c r="W2406" t="s">
        <v>16</v>
      </c>
      <c r="X2406" t="s">
        <v>17</v>
      </c>
    </row>
    <row r="2407" spans="1:24" x14ac:dyDescent="0.25">
      <c r="A2407" t="s">
        <v>5251</v>
      </c>
      <c r="C2407" t="s">
        <v>3915</v>
      </c>
      <c r="D2407" t="s">
        <v>25</v>
      </c>
      <c r="E2407" t="s">
        <v>3916</v>
      </c>
      <c r="H2407" t="str">
        <f t="shared" si="37"/>
        <v>Lerp the spectator camera to specified origin and eyes to specified pitch yaw.</v>
      </c>
    </row>
    <row r="2408" spans="1:24" x14ac:dyDescent="0.25">
      <c r="A2408" t="s">
        <v>5251</v>
      </c>
      <c r="C2408" t="s">
        <v>3917</v>
      </c>
      <c r="D2408">
        <v>0</v>
      </c>
      <c r="E2408" t="s">
        <v>3918</v>
      </c>
      <c r="H2408" t="str">
        <f t="shared" si="37"/>
        <v>As an observer, lock the spectate target to the given accountid.</v>
      </c>
      <c r="X2408" t="s">
        <v>17</v>
      </c>
    </row>
    <row r="2409" spans="1:24" x14ac:dyDescent="0.25">
      <c r="A2409" t="s">
        <v>5251</v>
      </c>
      <c r="C2409" t="s">
        <v>3919</v>
      </c>
      <c r="D2409" t="s">
        <v>25</v>
      </c>
      <c r="E2409" t="s">
        <v>3920</v>
      </c>
      <c r="H2409" t="str">
        <f t="shared" si="37"/>
        <v>Activates spectator menu</v>
      </c>
    </row>
    <row r="2410" spans="1:24" x14ac:dyDescent="0.25">
      <c r="A2410" t="s">
        <v>5251</v>
      </c>
      <c r="C2410" t="s">
        <v>3921</v>
      </c>
      <c r="D2410" t="s">
        <v>25</v>
      </c>
      <c r="E2410" t="s">
        <v>3922</v>
      </c>
      <c r="H2410" t="str">
        <f t="shared" si="37"/>
        <v>Set spectator mode</v>
      </c>
    </row>
    <row r="2411" spans="1:24" x14ac:dyDescent="0.25">
      <c r="A2411" t="s">
        <v>5251</v>
      </c>
      <c r="C2411" t="s">
        <v>3923</v>
      </c>
      <c r="D2411" t="s">
        <v>25</v>
      </c>
      <c r="E2411" t="s">
        <v>3924</v>
      </c>
      <c r="H2411" t="str">
        <f t="shared" si="37"/>
        <v>Spectate next player</v>
      </c>
    </row>
    <row r="2412" spans="1:24" x14ac:dyDescent="0.25">
      <c r="A2412" t="s">
        <v>5251</v>
      </c>
      <c r="C2412" t="s">
        <v>3925</v>
      </c>
      <c r="D2412" t="s">
        <v>25</v>
      </c>
      <c r="E2412" t="s">
        <v>3926</v>
      </c>
      <c r="H2412" t="str">
        <f t="shared" si="37"/>
        <v>Spectate player by index</v>
      </c>
    </row>
    <row r="2413" spans="1:24" x14ac:dyDescent="0.25">
      <c r="A2413" t="s">
        <v>5251</v>
      </c>
      <c r="C2413" t="s">
        <v>3927</v>
      </c>
      <c r="D2413" t="s">
        <v>25</v>
      </c>
      <c r="E2413" t="s">
        <v>3928</v>
      </c>
      <c r="H2413" t="str">
        <f t="shared" si="37"/>
        <v>Spectate player by Steam account ID</v>
      </c>
    </row>
    <row r="2414" spans="1:24" x14ac:dyDescent="0.25">
      <c r="A2414" t="s">
        <v>5251</v>
      </c>
      <c r="C2414" t="s">
        <v>3929</v>
      </c>
      <c r="D2414" t="s">
        <v>25</v>
      </c>
      <c r="E2414" t="s">
        <v>3930</v>
      </c>
      <c r="H2414" t="str">
        <f t="shared" si="37"/>
        <v>Spectate player by name</v>
      </c>
    </row>
    <row r="2415" spans="1:24" x14ac:dyDescent="0.25">
      <c r="A2415" t="s">
        <v>5251</v>
      </c>
      <c r="C2415" t="s">
        <v>3931</v>
      </c>
      <c r="D2415" t="s">
        <v>25</v>
      </c>
      <c r="E2415" t="s">
        <v>1408</v>
      </c>
      <c r="H2415" t="str">
        <f t="shared" si="37"/>
        <v>dump position and angles to the console</v>
      </c>
    </row>
    <row r="2416" spans="1:24" x14ac:dyDescent="0.25">
      <c r="A2416" t="s">
        <v>5251</v>
      </c>
      <c r="C2416" t="s">
        <v>3932</v>
      </c>
      <c r="D2416" t="s">
        <v>25</v>
      </c>
      <c r="E2416" t="s">
        <v>3933</v>
      </c>
      <c r="H2416" t="str">
        <f t="shared" si="37"/>
        <v>Spectate previous player ( valid values are 3 to 6 )</v>
      </c>
    </row>
    <row r="2417" spans="1:24" x14ac:dyDescent="0.25">
      <c r="A2417" t="s">
        <v>5253</v>
      </c>
      <c r="C2417" t="s">
        <v>3934</v>
      </c>
      <c r="D2417">
        <v>1</v>
      </c>
      <c r="E2417" t="s">
        <v>3935</v>
      </c>
      <c r="F2417" t="s">
        <v>5502</v>
      </c>
      <c r="G2417" t="s">
        <v>5253</v>
      </c>
      <c r="H2417" t="str">
        <f t="shared" si="37"/>
        <v>Client only, Server meldet "Unknown command" - Original Helptext: Auto-start Killer Replay when available</v>
      </c>
      <c r="I2417" t="s">
        <v>2</v>
      </c>
      <c r="X2417" t="s">
        <v>17</v>
      </c>
    </row>
    <row r="2418" spans="1:24" x14ac:dyDescent="0.25">
      <c r="A2418" t="s">
        <v>5253</v>
      </c>
      <c r="C2418" t="s">
        <v>3936</v>
      </c>
      <c r="D2418">
        <v>0</v>
      </c>
      <c r="E2418" t="s">
        <v>3937</v>
      </c>
      <c r="H2418" t="str">
        <f t="shared" si="37"/>
        <v>Enable Spectator Hltv Replay when killed by bot</v>
      </c>
      <c r="K2418" t="s">
        <v>4</v>
      </c>
    </row>
    <row r="2419" spans="1:24" x14ac:dyDescent="0.25">
      <c r="A2419" t="s">
        <v>5251</v>
      </c>
      <c r="C2419" t="s">
        <v>3938</v>
      </c>
      <c r="D2419">
        <v>5</v>
      </c>
      <c r="E2419" t="s">
        <v>3939</v>
      </c>
      <c r="H2419" t="str">
        <f t="shared" si="37"/>
        <v>Hltv Replay delay in seconds</v>
      </c>
      <c r="K2419" t="s">
        <v>4</v>
      </c>
    </row>
    <row r="2420" spans="1:24" x14ac:dyDescent="0.25">
      <c r="A2420" t="s">
        <v>5251</v>
      </c>
      <c r="C2420" t="s">
        <v>3940</v>
      </c>
      <c r="D2420">
        <v>0</v>
      </c>
      <c r="E2420" t="s">
        <v>3941</v>
      </c>
      <c r="H2420" t="str">
        <f t="shared" si="37"/>
        <v>Debug options for replay cam</v>
      </c>
      <c r="K2420" t="s">
        <v>4</v>
      </c>
    </row>
    <row r="2421" spans="1:24" x14ac:dyDescent="0.25">
      <c r="A2421" t="s">
        <v>5253</v>
      </c>
      <c r="C2421" t="s">
        <v>3942</v>
      </c>
      <c r="D2421">
        <v>1</v>
      </c>
      <c r="E2421" t="s">
        <v>3943</v>
      </c>
      <c r="H2421" t="str">
        <f t="shared" si="37"/>
        <v>Enable Killer Replay, requires hltv server running (0:off, 1:default, 2:force)</v>
      </c>
      <c r="S2421" t="s">
        <v>12</v>
      </c>
    </row>
    <row r="2422" spans="1:24" x14ac:dyDescent="0.25">
      <c r="A2422" t="s">
        <v>5251</v>
      </c>
      <c r="C2422" t="s">
        <v>3944</v>
      </c>
      <c r="D2422">
        <v>5</v>
      </c>
      <c r="E2422" t="s">
        <v>3945</v>
      </c>
      <c r="H2422" t="str">
        <f t="shared" si="37"/>
        <v>Replay time in seconds before the highlighted event</v>
      </c>
      <c r="S2422" t="s">
        <v>12</v>
      </c>
    </row>
    <row r="2423" spans="1:24" x14ac:dyDescent="0.25">
      <c r="A2423" t="s">
        <v>5251</v>
      </c>
      <c r="C2423" t="s">
        <v>3946</v>
      </c>
      <c r="D2423">
        <v>9</v>
      </c>
      <c r="E2423" t="s">
        <v>3947</v>
      </c>
      <c r="H2423" t="str">
        <f t="shared" si="37"/>
        <v>How long to show the message about Killer Replay after death. The best setting is a bit shorter than spec_replay_autostart_dela</v>
      </c>
      <c r="S2423" t="s">
        <v>12</v>
      </c>
    </row>
    <row r="2424" spans="1:24" x14ac:dyDescent="0.25">
      <c r="A2424" t="s">
        <v>5251</v>
      </c>
      <c r="C2424" t="s">
        <v>3948</v>
      </c>
      <c r="D2424">
        <v>0</v>
      </c>
      <c r="E2424" t="s">
        <v>3949</v>
      </c>
      <c r="H2424" t="str">
        <f t="shared" si="37"/>
        <v>When &gt; 0, sets the mode whereas players see delayed replay, and are segregated into a domain of chat and voice separate from th</v>
      </c>
      <c r="S2424" t="s">
        <v>12</v>
      </c>
    </row>
    <row r="2425" spans="1:24" x14ac:dyDescent="0.25">
      <c r="A2425" t="s">
        <v>5251</v>
      </c>
      <c r="C2425" t="s">
        <v>3950</v>
      </c>
      <c r="D2425">
        <v>1</v>
      </c>
      <c r="E2425" t="s">
        <v>3951</v>
      </c>
      <c r="H2425" t="str">
        <f t="shared" si="37"/>
        <v>Base time scale of Killer Replay.Experimental.</v>
      </c>
      <c r="S2425" t="s">
        <v>12</v>
      </c>
    </row>
    <row r="2426" spans="1:24" x14ac:dyDescent="0.25">
      <c r="A2426" t="s">
        <v>5251</v>
      </c>
      <c r="C2426" t="s">
        <v>3952</v>
      </c>
      <c r="D2426">
        <v>3</v>
      </c>
      <c r="E2426" t="s">
        <v>3953</v>
      </c>
      <c r="H2426" t="str">
        <f t="shared" si="37"/>
        <v>Minimum allowable pause between replay requests in seconds</v>
      </c>
      <c r="S2426" t="s">
        <v>12</v>
      </c>
    </row>
    <row r="2427" spans="1:24" x14ac:dyDescent="0.25">
      <c r="A2427" t="s">
        <v>5251</v>
      </c>
      <c r="C2427" t="s">
        <v>3954</v>
      </c>
      <c r="D2427">
        <v>0</v>
      </c>
      <c r="E2427" t="s">
        <v>3955</v>
      </c>
      <c r="H2427" t="str">
        <f t="shared" si="37"/>
        <v>Round can be delayed by this much due to someone watching a replay; must be at least 3-4 seconds, otherwise the last replay wil</v>
      </c>
      <c r="K2427" t="s">
        <v>4</v>
      </c>
    </row>
    <row r="2428" spans="1:24" x14ac:dyDescent="0.25">
      <c r="A2428" t="s">
        <v>5251</v>
      </c>
      <c r="C2428" t="s">
        <v>3956</v>
      </c>
      <c r="D2428">
        <v>2</v>
      </c>
      <c r="E2428" t="s">
        <v>3957</v>
      </c>
      <c r="H2428" t="str">
        <f t="shared" si="37"/>
        <v>The trailing time, in seconds, of replay past the event, including fade-out</v>
      </c>
      <c r="K2428" t="s">
        <v>4</v>
      </c>
    </row>
    <row r="2429" spans="1:24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5502</v>
      </c>
      <c r="G2429" t="s">
        <v>5253</v>
      </c>
      <c r="H2429" t="str">
        <f t="shared" si="37"/>
        <v>Client only, Server meldet "Unknown command" - Original Helptext: If set to 1, you can see player outlines and name IDs through walls - who you can see depends on your team and mode</v>
      </c>
      <c r="I2429" t="s">
        <v>2</v>
      </c>
      <c r="X2429" t="s">
        <v>17</v>
      </c>
    </row>
    <row r="2430" spans="1:24" x14ac:dyDescent="0.25">
      <c r="A2430" t="s">
        <v>5251</v>
      </c>
      <c r="C2430" t="s">
        <v>3960</v>
      </c>
      <c r="D2430">
        <v>1</v>
      </c>
      <c r="E2430" t="s">
        <v>3961</v>
      </c>
      <c r="H2430" t="str">
        <f t="shared" si="37"/>
        <v>If set to 1, map voting and spectator view use the raw number keys instead of the weapon binds (slot1, slot2, etc).</v>
      </c>
      <c r="I2430" t="s">
        <v>2</v>
      </c>
      <c r="X2430" t="s">
        <v>17</v>
      </c>
    </row>
    <row r="2431" spans="1:24" x14ac:dyDescent="0.25">
      <c r="A2431" t="s">
        <v>5251</v>
      </c>
      <c r="C2431" t="s">
        <v>3962</v>
      </c>
      <c r="D2431">
        <v>0</v>
      </c>
      <c r="E2431" t="s">
        <v>3963</v>
      </c>
      <c r="F2431" t="s">
        <v>5502</v>
      </c>
      <c r="G2431" t="s">
        <v>5253</v>
      </c>
      <c r="H2431" t="str">
        <f t="shared" si="37"/>
        <v>Client only, Server meldet "Unknown command" - Original Helptext: Whether to X-ray dropped defuse kits.</v>
      </c>
      <c r="X2431" t="s">
        <v>17</v>
      </c>
    </row>
    <row r="2432" spans="1:24" x14ac:dyDescent="0.25">
      <c r="A2432" t="s">
        <v>5251</v>
      </c>
      <c r="C2432" t="s">
        <v>3964</v>
      </c>
      <c r="D2432">
        <v>0</v>
      </c>
      <c r="E2432" t="s">
        <v>3965</v>
      </c>
      <c r="F2432" t="s">
        <v>5502</v>
      </c>
      <c r="G2432" t="s">
        <v>5253</v>
      </c>
      <c r="H2432" t="str">
        <f t="shared" si="37"/>
        <v>Client only, Server meldet "Unknown command" - Original Helptext: Whether to always X-ray dropped c4 and defuse kits.</v>
      </c>
      <c r="X2432" t="s">
        <v>17</v>
      </c>
    </row>
    <row r="2433" spans="1:24" x14ac:dyDescent="0.25">
      <c r="A2433" t="s">
        <v>5251</v>
      </c>
      <c r="B2433" t="s">
        <v>25</v>
      </c>
      <c r="C2433" t="s">
        <v>3966</v>
      </c>
      <c r="D2433" t="s">
        <v>25</v>
      </c>
      <c r="H2433">
        <f t="shared" si="37"/>
        <v>0</v>
      </c>
    </row>
    <row r="2434" spans="1:24" x14ac:dyDescent="0.25">
      <c r="A2434" t="s">
        <v>5251</v>
      </c>
      <c r="B2434" t="s">
        <v>25</v>
      </c>
      <c r="C2434" t="s">
        <v>3967</v>
      </c>
      <c r="D2434" t="s">
        <v>25</v>
      </c>
      <c r="H2434">
        <f t="shared" si="37"/>
        <v>0</v>
      </c>
    </row>
    <row r="2435" spans="1:24" x14ac:dyDescent="0.25">
      <c r="A2435" t="s">
        <v>5251</v>
      </c>
      <c r="C2435" t="s">
        <v>3968</v>
      </c>
      <c r="D2435" t="s">
        <v>25</v>
      </c>
      <c r="E2435" t="s">
        <v>3969</v>
      </c>
      <c r="H2435" t="str">
        <f t="shared" ref="H2435:H2498" si="38">IF(F2435="",E2435, F2435 &amp; " - Original Helptext: " &amp;E2435)</f>
        <v>generates a fake spike</v>
      </c>
    </row>
    <row r="2436" spans="1:24" x14ac:dyDescent="0.25">
      <c r="A2436" t="s">
        <v>5251</v>
      </c>
      <c r="C2436" t="s">
        <v>3970</v>
      </c>
      <c r="D2436" t="s">
        <v>25</v>
      </c>
      <c r="E2436" t="s">
        <v>3971</v>
      </c>
      <c r="H2436" t="str">
        <f t="shared" si="38"/>
        <v>Cause the engine to spincycle (Debug!!)</v>
      </c>
    </row>
    <row r="2437" spans="1:24" x14ac:dyDescent="0.25">
      <c r="A2437" t="s">
        <v>5251</v>
      </c>
      <c r="B2437" t="s">
        <v>25</v>
      </c>
      <c r="C2437" t="s">
        <v>3972</v>
      </c>
      <c r="D2437" t="s">
        <v>25</v>
      </c>
      <c r="H2437">
        <f t="shared" si="38"/>
        <v>0</v>
      </c>
    </row>
    <row r="2438" spans="1:24" x14ac:dyDescent="0.25">
      <c r="A2438" t="s">
        <v>5251</v>
      </c>
      <c r="B2438" t="s">
        <v>25</v>
      </c>
      <c r="C2438" t="s">
        <v>3973</v>
      </c>
      <c r="D2438" t="s">
        <v>25</v>
      </c>
      <c r="H2438">
        <f t="shared" si="38"/>
        <v>0</v>
      </c>
    </row>
    <row r="2439" spans="1:24" x14ac:dyDescent="0.25">
      <c r="A2439" t="s">
        <v>5251</v>
      </c>
      <c r="C2439" t="s">
        <v>3974</v>
      </c>
      <c r="D2439">
        <v>0</v>
      </c>
      <c r="E2439" t="s">
        <v>3975</v>
      </c>
      <c r="H2439" t="str">
        <f t="shared" si="38"/>
        <v>Enables Split Screen support. Play Single Player now launches into split screen mode. NO ONLINE SUPPORT</v>
      </c>
      <c r="X2439" t="s">
        <v>17</v>
      </c>
    </row>
    <row r="2440" spans="1:24" x14ac:dyDescent="0.25">
      <c r="A2440" t="s">
        <v>5251</v>
      </c>
      <c r="C2440" t="s">
        <v>3976</v>
      </c>
      <c r="D2440" t="s">
        <v>25</v>
      </c>
      <c r="E2440" t="s">
        <v>3977</v>
      </c>
      <c r="H2440" t="str">
        <f t="shared" si="38"/>
        <v>Start playing on specified map with max allowed splitscreen players.</v>
      </c>
    </row>
    <row r="2441" spans="1:24" x14ac:dyDescent="0.25">
      <c r="A2441" t="s">
        <v>5251</v>
      </c>
      <c r="C2441" t="s">
        <v>3978</v>
      </c>
      <c r="D2441" t="s">
        <v>25</v>
      </c>
      <c r="E2441" t="s">
        <v>3978</v>
      </c>
      <c r="H2441" t="str">
        <f t="shared" si="38"/>
        <v>ss_reloadletterbox</v>
      </c>
    </row>
    <row r="2442" spans="1:24" x14ac:dyDescent="0.25">
      <c r="A2442" t="s">
        <v>5251</v>
      </c>
      <c r="C2442" t="s">
        <v>3979</v>
      </c>
      <c r="D2442">
        <v>0</v>
      </c>
      <c r="E2442" t="s">
        <v>3980</v>
      </c>
      <c r="H2442" t="str">
        <f t="shared" si="38"/>
        <v>Two player split screen mode (0 - recommended settings base on the width, 1 - horizontal, 2 - vertical (only allowed in widescr</v>
      </c>
      <c r="I2442" t="s">
        <v>2</v>
      </c>
      <c r="X2442" t="s">
        <v>17</v>
      </c>
    </row>
    <row r="2443" spans="1:24" x14ac:dyDescent="0.25">
      <c r="A2443" t="s">
        <v>5251</v>
      </c>
      <c r="C2443" t="s">
        <v>3981</v>
      </c>
      <c r="D2443" t="s">
        <v>25</v>
      </c>
      <c r="E2443" t="s">
        <v>3982</v>
      </c>
      <c r="H2443" t="str">
        <f t="shared" si="38"/>
        <v>Dump memory stats</v>
      </c>
    </row>
    <row r="2444" spans="1:24" x14ac:dyDescent="0.25">
      <c r="A2444" t="s">
        <v>5251</v>
      </c>
      <c r="C2444" t="s">
        <v>3983</v>
      </c>
      <c r="D2444" t="s">
        <v>25</v>
      </c>
      <c r="E2444" t="s">
        <v>3984</v>
      </c>
      <c r="H2444" t="str">
        <f t="shared" si="38"/>
        <v>Play demos in demo sequence.</v>
      </c>
    </row>
    <row r="2445" spans="1:24" x14ac:dyDescent="0.25">
      <c r="A2445" t="s">
        <v>5251</v>
      </c>
      <c r="C2445" t="s">
        <v>3985</v>
      </c>
      <c r="D2445" t="s">
        <v>25</v>
      </c>
      <c r="E2445" t="s">
        <v>3986</v>
      </c>
      <c r="H2445" t="str">
        <f t="shared" si="38"/>
        <v>Start recording movie frames.</v>
      </c>
    </row>
    <row r="2446" spans="1:24" x14ac:dyDescent="0.25">
      <c r="A2446" t="s">
        <v>5253</v>
      </c>
      <c r="C2446" t="s">
        <v>3987</v>
      </c>
      <c r="D2446" t="s">
        <v>25</v>
      </c>
      <c r="E2446" t="s">
        <v>3988</v>
      </c>
      <c r="H2446" t="str">
        <f t="shared" si="38"/>
        <v xml:space="preserve">Opens initial menu screen and loads the background bsp, but only if no other level is being loaded, and we're not in developer </v>
      </c>
    </row>
    <row r="2447" spans="1:24" x14ac:dyDescent="0.25">
      <c r="A2447" t="s">
        <v>5253</v>
      </c>
      <c r="C2447" t="s">
        <v>3989</v>
      </c>
      <c r="D2447" t="s">
        <v>25</v>
      </c>
      <c r="E2447" t="s">
        <v>3990</v>
      </c>
      <c r="H2447" t="str">
        <f t="shared" si="38"/>
        <v>Prints server performance variables</v>
      </c>
    </row>
    <row r="2448" spans="1:24" x14ac:dyDescent="0.25">
      <c r="A2448" t="s">
        <v>5253</v>
      </c>
      <c r="C2448" t="s">
        <v>3991</v>
      </c>
      <c r="D2448" t="s">
        <v>25</v>
      </c>
      <c r="E2448" t="s">
        <v>3992</v>
      </c>
      <c r="H2448" t="str">
        <f t="shared" si="38"/>
        <v>Display map and connection status.</v>
      </c>
    </row>
    <row r="2449" spans="1:24" x14ac:dyDescent="0.25">
      <c r="A2449" t="s">
        <v>5251</v>
      </c>
      <c r="C2449" t="s">
        <v>3993</v>
      </c>
      <c r="D2449">
        <v>1</v>
      </c>
      <c r="H2449">
        <f t="shared" si="38"/>
        <v>0</v>
      </c>
      <c r="X2449" t="s">
        <v>17</v>
      </c>
    </row>
    <row r="2450" spans="1:24" x14ac:dyDescent="0.25">
      <c r="A2450" t="s">
        <v>5251</v>
      </c>
      <c r="C2450" t="s">
        <v>3994</v>
      </c>
      <c r="D2450" t="s">
        <v>25</v>
      </c>
      <c r="E2450" t="s">
        <v>3995</v>
      </c>
      <c r="H2450" t="str">
        <f t="shared" si="38"/>
        <v>Spew report of steam controller status</v>
      </c>
    </row>
    <row r="2451" spans="1:24" x14ac:dyDescent="0.25">
      <c r="A2451" t="s">
        <v>5251</v>
      </c>
      <c r="C2451" t="s">
        <v>3996</v>
      </c>
      <c r="D2451" t="s">
        <v>25</v>
      </c>
      <c r="E2451" t="s">
        <v>3997</v>
      </c>
      <c r="H2451" t="str">
        <f t="shared" si="38"/>
        <v>Finish recording demo.</v>
      </c>
    </row>
    <row r="2452" spans="1:24" x14ac:dyDescent="0.25">
      <c r="A2452" t="s">
        <v>5251</v>
      </c>
      <c r="C2452" t="s">
        <v>3998</v>
      </c>
      <c r="D2452" t="s">
        <v>25</v>
      </c>
      <c r="E2452" t="s">
        <v>3999</v>
      </c>
      <c r="H2452" t="str">
        <f t="shared" si="38"/>
        <v>Fades out all transition videos playing to the screen: &lt;time&gt;</v>
      </c>
    </row>
    <row r="2453" spans="1:24" x14ac:dyDescent="0.25">
      <c r="A2453" t="s">
        <v>5251</v>
      </c>
      <c r="C2453" t="s">
        <v>4000</v>
      </c>
      <c r="D2453" t="s">
        <v>25</v>
      </c>
      <c r="E2453" t="s">
        <v>4001</v>
      </c>
      <c r="H2453" t="str">
        <f t="shared" si="38"/>
        <v>Stop playing back a demo.</v>
      </c>
    </row>
    <row r="2454" spans="1:24" x14ac:dyDescent="0.25">
      <c r="A2454" t="s">
        <v>5251</v>
      </c>
      <c r="C2454" t="s">
        <v>4002</v>
      </c>
      <c r="D2454" t="s">
        <v>25</v>
      </c>
      <c r="H2454">
        <f t="shared" si="38"/>
        <v>0</v>
      </c>
    </row>
    <row r="2455" spans="1:24" x14ac:dyDescent="0.25">
      <c r="A2455" t="s">
        <v>5251</v>
      </c>
      <c r="C2455" t="s">
        <v>4003</v>
      </c>
      <c r="D2455" t="s">
        <v>25</v>
      </c>
      <c r="E2455" t="s">
        <v>4004</v>
      </c>
      <c r="H2455" t="str">
        <f t="shared" si="38"/>
        <v>Stops all soundscape processing and fades current looping sounds</v>
      </c>
    </row>
    <row r="2456" spans="1:24" x14ac:dyDescent="0.25">
      <c r="A2456" t="s">
        <v>5251</v>
      </c>
      <c r="C2456" t="s">
        <v>4005</v>
      </c>
      <c r="D2456" t="s">
        <v>25</v>
      </c>
      <c r="E2456" t="s">
        <v>4006</v>
      </c>
      <c r="H2456" t="str">
        <f t="shared" si="38"/>
        <v>Stops all videos playing to the screen</v>
      </c>
    </row>
    <row r="2457" spans="1:24" x14ac:dyDescent="0.25">
      <c r="A2457" t="s">
        <v>5251</v>
      </c>
      <c r="C2457" t="s">
        <v>4007</v>
      </c>
      <c r="D2457" t="s">
        <v>25</v>
      </c>
      <c r="E2457" t="s">
        <v>4008</v>
      </c>
      <c r="H2457" t="str">
        <f t="shared" si="38"/>
        <v>Fades out all videos playing to the screen: &lt;time&gt;</v>
      </c>
    </row>
    <row r="2458" spans="1:24" x14ac:dyDescent="0.25">
      <c r="A2458" t="s">
        <v>5251</v>
      </c>
      <c r="B2458" t="s">
        <v>25</v>
      </c>
      <c r="C2458" t="s">
        <v>4009</v>
      </c>
      <c r="D2458" t="s">
        <v>25</v>
      </c>
      <c r="H2458">
        <f t="shared" si="38"/>
        <v>0</v>
      </c>
    </row>
    <row r="2459" spans="1:24" x14ac:dyDescent="0.25">
      <c r="A2459" t="s">
        <v>5251</v>
      </c>
      <c r="B2459" t="s">
        <v>25</v>
      </c>
      <c r="C2459" t="s">
        <v>4010</v>
      </c>
      <c r="D2459" t="s">
        <v>25</v>
      </c>
      <c r="H2459">
        <f t="shared" si="38"/>
        <v>0</v>
      </c>
    </row>
    <row r="2460" spans="1:24" x14ac:dyDescent="0.25">
      <c r="A2460" t="s">
        <v>5251</v>
      </c>
      <c r="C2460" t="s">
        <v>4011</v>
      </c>
      <c r="D2460" t="s">
        <v>25</v>
      </c>
      <c r="E2460" t="s">
        <v>4012</v>
      </c>
      <c r="H2460" t="str">
        <f t="shared" si="38"/>
        <v>Create dictionary for current strings.</v>
      </c>
    </row>
    <row r="2461" spans="1:24" x14ac:dyDescent="0.25">
      <c r="A2461" t="s">
        <v>5251</v>
      </c>
      <c r="C2461" t="s">
        <v>4013</v>
      </c>
      <c r="D2461" t="s">
        <v>25</v>
      </c>
      <c r="E2461" t="s">
        <v>4014</v>
      </c>
      <c r="H2461" t="str">
        <f t="shared" si="38"/>
        <v>Parses and stuffs command line + commands to command buffer.</v>
      </c>
    </row>
    <row r="2462" spans="1:24" x14ac:dyDescent="0.25">
      <c r="A2462" t="s">
        <v>5251</v>
      </c>
      <c r="C2462" t="s">
        <v>4015</v>
      </c>
      <c r="D2462">
        <v>0</v>
      </c>
      <c r="H2462">
        <f t="shared" si="38"/>
        <v>0</v>
      </c>
      <c r="I2462" t="s">
        <v>2</v>
      </c>
      <c r="K2462" t="s">
        <v>4</v>
      </c>
    </row>
    <row r="2463" spans="1:24" x14ac:dyDescent="0.25">
      <c r="A2463" t="s">
        <v>5251</v>
      </c>
      <c r="C2463" t="s">
        <v>4016</v>
      </c>
      <c r="D2463" t="s">
        <v>25</v>
      </c>
      <c r="E2463" t="s">
        <v>4017</v>
      </c>
      <c r="H2463" t="str">
        <f t="shared" si="38"/>
        <v>Reports the surface properties at the cursor</v>
      </c>
    </row>
    <row r="2464" spans="1:24" x14ac:dyDescent="0.25">
      <c r="A2464" t="s">
        <v>5251</v>
      </c>
      <c r="C2464" t="s">
        <v>4018</v>
      </c>
      <c r="D2464" t="s">
        <v>25</v>
      </c>
      <c r="E2464" t="s">
        <v>4019</v>
      </c>
      <c r="H2464" t="str">
        <f t="shared" si="38"/>
        <v>print out a number of all possible final zone</v>
      </c>
    </row>
    <row r="2465" spans="1:24" x14ac:dyDescent="0.25">
      <c r="A2465" t="s">
        <v>5251</v>
      </c>
      <c r="C2465" t="s">
        <v>4020</v>
      </c>
      <c r="D2465">
        <v>5</v>
      </c>
      <c r="E2465" t="s">
        <v>4021</v>
      </c>
      <c r="H2465" t="str">
        <f t="shared" si="38"/>
        <v>Linear acceleration amount (old value is 5.6)</v>
      </c>
      <c r="N2465" t="s">
        <v>7</v>
      </c>
      <c r="S2465" t="s">
        <v>12</v>
      </c>
      <c r="X2465" t="s">
        <v>17</v>
      </c>
    </row>
    <row r="2466" spans="1:24" x14ac:dyDescent="0.25">
      <c r="A2466" t="s">
        <v>5251</v>
      </c>
      <c r="C2466" t="s">
        <v>4022</v>
      </c>
      <c r="D2466">
        <v>0</v>
      </c>
      <c r="H2466">
        <f t="shared" si="38"/>
        <v>0</v>
      </c>
      <c r="N2466" t="s">
        <v>7</v>
      </c>
      <c r="S2466" t="s">
        <v>12</v>
      </c>
      <c r="X2466" t="s">
        <v>17</v>
      </c>
    </row>
    <row r="2467" spans="1:24" x14ac:dyDescent="0.25">
      <c r="A2467" t="s">
        <v>5251</v>
      </c>
      <c r="C2467" t="s">
        <v>4023</v>
      </c>
      <c r="D2467">
        <v>1</v>
      </c>
      <c r="H2467">
        <f t="shared" si="38"/>
        <v>0</v>
      </c>
      <c r="N2467" t="s">
        <v>7</v>
      </c>
      <c r="S2467" t="s">
        <v>12</v>
      </c>
      <c r="X2467" t="s">
        <v>17</v>
      </c>
    </row>
    <row r="2468" spans="1:24" x14ac:dyDescent="0.25">
      <c r="A2468" t="s">
        <v>5251</v>
      </c>
      <c r="C2468" t="s">
        <v>4024</v>
      </c>
      <c r="D2468">
        <v>0</v>
      </c>
      <c r="H2468">
        <f t="shared" si="38"/>
        <v>0</v>
      </c>
      <c r="S2468" t="s">
        <v>12</v>
      </c>
      <c r="X2468" t="s">
        <v>17</v>
      </c>
    </row>
    <row r="2469" spans="1:24" x14ac:dyDescent="0.25">
      <c r="A2469" t="s">
        <v>5251</v>
      </c>
      <c r="C2469" t="s">
        <v>4025</v>
      </c>
      <c r="D2469">
        <v>240</v>
      </c>
      <c r="H2469">
        <f t="shared" si="38"/>
        <v>0</v>
      </c>
      <c r="S2469" t="s">
        <v>12</v>
      </c>
      <c r="X2469" t="s">
        <v>17</v>
      </c>
    </row>
    <row r="2470" spans="1:24" x14ac:dyDescent="0.25">
      <c r="A2470" t="s">
        <v>5251</v>
      </c>
      <c r="C2470" t="s">
        <v>4026</v>
      </c>
      <c r="D2470">
        <v>30</v>
      </c>
      <c r="H2470">
        <f t="shared" si="38"/>
        <v>0</v>
      </c>
      <c r="S2470" t="s">
        <v>12</v>
      </c>
      <c r="X2470" t="s">
        <v>17</v>
      </c>
    </row>
    <row r="2471" spans="1:24" x14ac:dyDescent="0.25">
      <c r="A2471" t="s">
        <v>5251</v>
      </c>
      <c r="C2471" t="s">
        <v>4027</v>
      </c>
      <c r="D2471">
        <v>0</v>
      </c>
      <c r="H2471">
        <f t="shared" si="38"/>
        <v>0</v>
      </c>
      <c r="S2471" t="s">
        <v>12</v>
      </c>
      <c r="X2471" t="s">
        <v>17</v>
      </c>
    </row>
    <row r="2472" spans="1:24" x14ac:dyDescent="0.25">
      <c r="A2472" t="s">
        <v>5251</v>
      </c>
      <c r="C2472" t="s">
        <v>4028</v>
      </c>
      <c r="D2472">
        <v>12</v>
      </c>
      <c r="H2472">
        <f t="shared" si="38"/>
        <v>0</v>
      </c>
      <c r="N2472" t="s">
        <v>7</v>
      </c>
      <c r="S2472" t="s">
        <v>12</v>
      </c>
      <c r="X2472" t="s">
        <v>17</v>
      </c>
    </row>
    <row r="2473" spans="1:24" x14ac:dyDescent="0.25">
      <c r="A2473" t="s">
        <v>5251</v>
      </c>
      <c r="C2473" t="s">
        <v>4029</v>
      </c>
      <c r="D2473">
        <v>2</v>
      </c>
      <c r="H2473">
        <f t="shared" si="38"/>
        <v>0</v>
      </c>
      <c r="S2473" t="s">
        <v>12</v>
      </c>
      <c r="X2473" t="s">
        <v>17</v>
      </c>
    </row>
    <row r="2474" spans="1:24" x14ac:dyDescent="0.25">
      <c r="A2474" t="s">
        <v>5251</v>
      </c>
      <c r="C2474" t="s">
        <v>4030</v>
      </c>
      <c r="D2474">
        <v>2</v>
      </c>
      <c r="H2474">
        <f t="shared" si="38"/>
        <v>0</v>
      </c>
      <c r="S2474" t="s">
        <v>12</v>
      </c>
      <c r="X2474" t="s">
        <v>17</v>
      </c>
    </row>
    <row r="2475" spans="1:24" x14ac:dyDescent="0.25">
      <c r="A2475" t="s">
        <v>5253</v>
      </c>
      <c r="C2475" t="s">
        <v>4031</v>
      </c>
      <c r="D2475">
        <v>1</v>
      </c>
      <c r="E2475" t="s">
        <v>4032</v>
      </c>
      <c r="H2475" t="str">
        <f t="shared" si="38"/>
        <v>Players can receive all other players' text chat, team restrictions apply</v>
      </c>
      <c r="K2475" t="s">
        <v>4</v>
      </c>
      <c r="N2475" t="s">
        <v>7</v>
      </c>
    </row>
    <row r="2476" spans="1:24" x14ac:dyDescent="0.25">
      <c r="A2476" t="s">
        <v>5251</v>
      </c>
      <c r="C2476" t="s">
        <v>4033</v>
      </c>
      <c r="D2476">
        <v>0</v>
      </c>
      <c r="E2476" t="s">
        <v>4034</v>
      </c>
      <c r="H2476" t="str">
        <f t="shared" si="38"/>
        <v>Enables old concommand execution behavior allowing remote clients to run any command not explicitly flagged as disallowed.</v>
      </c>
    </row>
    <row r="2477" spans="1:24" x14ac:dyDescent="0.25">
      <c r="A2477" t="s">
        <v>5253</v>
      </c>
      <c r="C2477" t="s">
        <v>4035</v>
      </c>
      <c r="D2477">
        <v>0</v>
      </c>
      <c r="E2477" t="s">
        <v>4036</v>
      </c>
      <c r="H2477" t="str">
        <f t="shared" si="38"/>
        <v>Allows the server set players in third person mode without the client slamming it back (if cheats are on, all clients can set t</v>
      </c>
      <c r="S2477" t="s">
        <v>12</v>
      </c>
      <c r="X2477" t="s">
        <v>17</v>
      </c>
    </row>
    <row r="2478" spans="1:24" x14ac:dyDescent="0.25">
      <c r="A2478" t="s">
        <v>5253</v>
      </c>
      <c r="C2478" t="s">
        <v>4037</v>
      </c>
      <c r="D2478">
        <v>1</v>
      </c>
      <c r="E2478" t="s">
        <v>4038</v>
      </c>
      <c r="H2478" t="str">
        <f t="shared" si="38"/>
        <v>Allow voting?</v>
      </c>
      <c r="K2478" t="s">
        <v>4</v>
      </c>
    </row>
    <row r="2479" spans="1:24" x14ac:dyDescent="0.25">
      <c r="A2479" t="s">
        <v>5253</v>
      </c>
      <c r="C2479" t="s">
        <v>4039</v>
      </c>
      <c r="D2479">
        <v>1</v>
      </c>
      <c r="E2479" t="s">
        <v>4040</v>
      </c>
      <c r="H2479" t="str">
        <f t="shared" si="38"/>
        <v>Allow or disallow the wait command on clients connected to this server.</v>
      </c>
      <c r="S2479" t="s">
        <v>12</v>
      </c>
    </row>
    <row r="2480" spans="1:24" x14ac:dyDescent="0.25">
      <c r="A2480" t="s">
        <v>5253</v>
      </c>
      <c r="C2480" t="s">
        <v>4041</v>
      </c>
      <c r="D2480">
        <v>1</v>
      </c>
      <c r="E2480" t="s">
        <v>4042</v>
      </c>
      <c r="H2480" t="str">
        <f t="shared" si="38"/>
        <v>Allow clients to download files</v>
      </c>
    </row>
    <row r="2481" spans="1:24" x14ac:dyDescent="0.25">
      <c r="A2481" t="s">
        <v>5253</v>
      </c>
      <c r="C2481" t="s">
        <v>4043</v>
      </c>
      <c r="D2481">
        <v>0</v>
      </c>
      <c r="E2481" t="s">
        <v>4044</v>
      </c>
      <c r="H2481" t="str">
        <f t="shared" si="38"/>
        <v>Allow clients to upload customizations files</v>
      </c>
    </row>
    <row r="2482" spans="1:24" x14ac:dyDescent="0.25">
      <c r="A2482" t="s">
        <v>5253</v>
      </c>
      <c r="C2482" t="s">
        <v>4045</v>
      </c>
      <c r="D2482">
        <v>0</v>
      </c>
      <c r="E2482" t="s">
        <v>4046</v>
      </c>
      <c r="H2482" t="str">
        <f t="shared" si="38"/>
        <v>Deprecated. Replaced with sv_talk_enemy_dead and sv_talk_enemy_living.</v>
      </c>
      <c r="N2482" t="s">
        <v>7</v>
      </c>
      <c r="S2482" t="s">
        <v>12</v>
      </c>
      <c r="X2482" t="s">
        <v>17</v>
      </c>
    </row>
    <row r="2483" spans="1:24" x14ac:dyDescent="0.25">
      <c r="A2483" t="s">
        <v>5251</v>
      </c>
      <c r="C2483" t="s">
        <v>4047</v>
      </c>
      <c r="D2483">
        <v>0</v>
      </c>
      <c r="E2483" t="s">
        <v>4048</v>
      </c>
      <c r="H2483" t="str">
        <f t="shared" si="38"/>
        <v>If set, server only simulates entities on even numbered ticks.</v>
      </c>
    </row>
    <row r="2484" spans="1:24" x14ac:dyDescent="0.25">
      <c r="A2484" t="s">
        <v>5251</v>
      </c>
      <c r="C2484" t="s">
        <v>4049</v>
      </c>
      <c r="D2484">
        <v>0</v>
      </c>
      <c r="E2484" t="s">
        <v>4050</v>
      </c>
      <c r="H2484" t="str">
        <f t="shared" si="38"/>
        <v>Arms Race gun level after which vote to restart is disallowed</v>
      </c>
      <c r="K2484" t="s">
        <v>4</v>
      </c>
      <c r="S2484" t="s">
        <v>12</v>
      </c>
    </row>
    <row r="2485" spans="1:24" x14ac:dyDescent="0.25">
      <c r="A2485" t="s">
        <v>5253</v>
      </c>
      <c r="C2485" t="s">
        <v>4051</v>
      </c>
      <c r="D2485">
        <v>1</v>
      </c>
      <c r="E2485" t="s">
        <v>4052</v>
      </c>
      <c r="H2485" t="str">
        <f t="shared" si="38"/>
        <v>Adjust the difficulty of bots each round based on contribution score.</v>
      </c>
      <c r="K2485" t="s">
        <v>4</v>
      </c>
    </row>
    <row r="2486" spans="1:24" x14ac:dyDescent="0.25">
      <c r="A2486" t="s">
        <v>5253</v>
      </c>
      <c r="C2486" t="s">
        <v>4053</v>
      </c>
      <c r="D2486">
        <v>1</v>
      </c>
      <c r="E2486" t="s">
        <v>4054</v>
      </c>
      <c r="H2486" t="str">
        <f t="shared" si="38"/>
        <v>When enabled will automatically turn on full all talk mode in warmup, at halftime and at the end of the match</v>
      </c>
      <c r="K2486" t="s">
        <v>4</v>
      </c>
    </row>
    <row r="2487" spans="1:24" x14ac:dyDescent="0.25">
      <c r="A2487" t="s">
        <v>5253</v>
      </c>
      <c r="C2487" t="s">
        <v>4055</v>
      </c>
      <c r="D2487">
        <v>0</v>
      </c>
      <c r="E2487" t="s">
        <v>4056</v>
      </c>
      <c r="H2487" t="str">
        <f t="shared" si="38"/>
        <v>Players automatically re-jump while holding jump button</v>
      </c>
      <c r="S2487" t="s">
        <v>12</v>
      </c>
      <c r="X2487" t="s">
        <v>17</v>
      </c>
    </row>
    <row r="2488" spans="1:24" x14ac:dyDescent="0.25">
      <c r="A2488" t="s">
        <v>5253</v>
      </c>
      <c r="C2488" t="s">
        <v>4057</v>
      </c>
      <c r="D2488">
        <v>0</v>
      </c>
      <c r="E2488" t="s">
        <v>4058</v>
      </c>
      <c r="H2488" t="str">
        <f t="shared" si="38"/>
        <v>Enable automatic ammo purchase when inside buy zones during buy periods</v>
      </c>
      <c r="K2488" t="s">
        <v>4</v>
      </c>
      <c r="N2488" t="s">
        <v>7</v>
      </c>
      <c r="S2488" t="s">
        <v>12</v>
      </c>
    </row>
    <row r="2489" spans="1:24" x14ac:dyDescent="0.25">
      <c r="A2489" t="s">
        <v>5253</v>
      </c>
      <c r="C2489" t="s">
        <v>4059</v>
      </c>
      <c r="D2489">
        <v>0</v>
      </c>
      <c r="E2489" t="s">
        <v>4060</v>
      </c>
      <c r="H2489" t="str">
        <f t="shared" si="38"/>
        <v>Execute a mapname cfg file on the server automatically in custom game modes that require it.</v>
      </c>
      <c r="K2489" t="s">
        <v>4</v>
      </c>
    </row>
    <row r="2490" spans="1:24" x14ac:dyDescent="0.25">
      <c r="A2490" t="s">
        <v>5251</v>
      </c>
      <c r="C2490" t="s">
        <v>4061</v>
      </c>
      <c r="D2490" t="s">
        <v>25</v>
      </c>
      <c r="E2490" t="s">
        <v>4062</v>
      </c>
      <c r="H2490" t="str">
        <f t="shared" si="38"/>
        <v>Force start the benchmark. This is only for debugging. It's better to set sv_benchmark to 1 and restart the level.</v>
      </c>
    </row>
    <row r="2491" spans="1:24" x14ac:dyDescent="0.25">
      <c r="A2491" t="s">
        <v>5253</v>
      </c>
      <c r="C2491" t="s">
        <v>4063</v>
      </c>
      <c r="D2491">
        <v>1</v>
      </c>
      <c r="E2491" t="s">
        <v>4064</v>
      </c>
      <c r="H2491" t="str">
        <f t="shared" si="38"/>
        <v>Given a bot will buy a grenade, controls the odds of the grenade type. Proportional to all other sv_bot_buy_*_weight convars.</v>
      </c>
      <c r="K2491" t="s">
        <v>4</v>
      </c>
    </row>
    <row r="2492" spans="1:24" x14ac:dyDescent="0.25">
      <c r="A2492" t="s">
        <v>5253</v>
      </c>
      <c r="C2492" t="s">
        <v>4065</v>
      </c>
      <c r="D2492">
        <v>1</v>
      </c>
      <c r="E2492" t="s">
        <v>4064</v>
      </c>
      <c r="H2492" t="str">
        <f t="shared" si="38"/>
        <v>Given a bot will buy a grenade, controls the odds of the grenade type. Proportional to all other sv_bot_buy_*_weight convars.</v>
      </c>
      <c r="K2492" t="s">
        <v>4</v>
      </c>
    </row>
    <row r="2493" spans="1:24" x14ac:dyDescent="0.25">
      <c r="A2493" t="s">
        <v>5253</v>
      </c>
      <c r="C2493" t="s">
        <v>4066</v>
      </c>
      <c r="D2493">
        <v>33</v>
      </c>
      <c r="E2493" t="s">
        <v>4067</v>
      </c>
      <c r="H2493" t="str">
        <f t="shared" si="38"/>
        <v>Chance bots will buy a grenade with leftover money (after prim, sec and armor). Input as percent (0-100.0)</v>
      </c>
      <c r="K2493" t="s">
        <v>4</v>
      </c>
    </row>
    <row r="2494" spans="1:24" x14ac:dyDescent="0.25">
      <c r="A2494" t="s">
        <v>5253</v>
      </c>
      <c r="C2494" t="s">
        <v>4068</v>
      </c>
      <c r="D2494">
        <v>6</v>
      </c>
      <c r="E2494" t="s">
        <v>4064</v>
      </c>
      <c r="H2494" t="str">
        <f t="shared" si="38"/>
        <v>Given a bot will buy a grenade, controls the odds of the grenade type. Proportional to all other sv_bot_buy_*_weight convars.</v>
      </c>
      <c r="K2494" t="s">
        <v>4</v>
      </c>
    </row>
    <row r="2495" spans="1:24" x14ac:dyDescent="0.25">
      <c r="A2495" t="s">
        <v>5253</v>
      </c>
      <c r="C2495" t="s">
        <v>4069</v>
      </c>
      <c r="D2495">
        <v>1</v>
      </c>
      <c r="E2495" t="s">
        <v>4064</v>
      </c>
      <c r="H2495" t="str">
        <f t="shared" si="38"/>
        <v>Given a bot will buy a grenade, controls the odds of the grenade type. Proportional to all other sv_bot_buy_*_weight convars.</v>
      </c>
      <c r="K2495" t="s">
        <v>4</v>
      </c>
    </row>
    <row r="2496" spans="1:24" x14ac:dyDescent="0.25">
      <c r="A2496" t="s">
        <v>5253</v>
      </c>
      <c r="C2496" t="s">
        <v>4070</v>
      </c>
      <c r="D2496">
        <v>1</v>
      </c>
      <c r="E2496" t="s">
        <v>4064</v>
      </c>
      <c r="H2496" t="str">
        <f t="shared" si="38"/>
        <v>Given a bot will buy a grenade, controls the odds of the grenade type. Proportional to all other sv_bot_buy_*_weight convars.</v>
      </c>
      <c r="K2496" t="s">
        <v>4</v>
      </c>
    </row>
    <row r="2497" spans="1:24" x14ac:dyDescent="0.25">
      <c r="A2497" t="s">
        <v>5253</v>
      </c>
      <c r="C2497" t="s">
        <v>4071</v>
      </c>
      <c r="D2497">
        <v>0</v>
      </c>
      <c r="E2497" t="s">
        <v>4072</v>
      </c>
      <c r="H2497" t="str">
        <f t="shared" si="38"/>
        <v>If set, this strips the bots of their weapons every round and forces them to rebuy.</v>
      </c>
      <c r="K2497" t="s">
        <v>4</v>
      </c>
    </row>
    <row r="2498" spans="1:24" x14ac:dyDescent="0.25">
      <c r="A2498" t="s">
        <v>5253</v>
      </c>
      <c r="C2498" t="s">
        <v>4073</v>
      </c>
      <c r="D2498">
        <v>0</v>
      </c>
      <c r="E2498" t="s">
        <v>4074</v>
      </c>
      <c r="H2498" t="str">
        <f t="shared" si="38"/>
        <v>If &gt; 0, some # of bots will lower thier difficulty each time they win. The argument defines how many will lower their difficult</v>
      </c>
      <c r="K2498" t="s">
        <v>4</v>
      </c>
    </row>
    <row r="2499" spans="1:24" x14ac:dyDescent="0.25">
      <c r="A2499" t="s">
        <v>5253</v>
      </c>
      <c r="C2499" t="s">
        <v>4075</v>
      </c>
      <c r="D2499">
        <v>0</v>
      </c>
      <c r="E2499" t="s">
        <v>4076</v>
      </c>
      <c r="H2499" t="str">
        <f t="shared" ref="H2499:H2562" si="39">IF(F2499="",E2499, F2499 &amp; " - Original Helptext: " &amp;E2499)</f>
        <v>If &gt; 0, some # of bots will raise thier difficulty each time CTs beat a Guardian wave. The argument defines how many will raise</v>
      </c>
      <c r="K2499" t="s">
        <v>4</v>
      </c>
    </row>
    <row r="2500" spans="1:24" x14ac:dyDescent="0.25">
      <c r="A2500" t="s">
        <v>5251</v>
      </c>
      <c r="C2500" t="s">
        <v>4077</v>
      </c>
      <c r="D2500">
        <v>0</v>
      </c>
      <c r="E2500" t="s">
        <v>4078</v>
      </c>
      <c r="H2500" t="str">
        <f t="shared" si="39"/>
        <v>Bounce multiplier for when physically simulated objects collide with other objects.</v>
      </c>
      <c r="N2500" t="s">
        <v>7</v>
      </c>
      <c r="S2500" t="s">
        <v>12</v>
      </c>
      <c r="X2500" t="s">
        <v>17</v>
      </c>
    </row>
    <row r="2501" spans="1:24" x14ac:dyDescent="0.25">
      <c r="A2501" t="s">
        <v>5251</v>
      </c>
      <c r="C2501" t="s">
        <v>4079</v>
      </c>
      <c r="D2501">
        <v>0</v>
      </c>
      <c r="H2501">
        <f t="shared" si="39"/>
        <v>0</v>
      </c>
      <c r="K2501" t="s">
        <v>4</v>
      </c>
      <c r="X2501" t="s">
        <v>17</v>
      </c>
    </row>
    <row r="2502" spans="1:24" x14ac:dyDescent="0.25">
      <c r="A2502" t="s">
        <v>5251</v>
      </c>
      <c r="C2502" t="s">
        <v>4080</v>
      </c>
      <c r="D2502">
        <v>0</v>
      </c>
      <c r="H2502">
        <f t="shared" si="39"/>
        <v>0</v>
      </c>
      <c r="K2502" t="s">
        <v>4</v>
      </c>
      <c r="X2502" t="s">
        <v>17</v>
      </c>
    </row>
    <row r="2503" spans="1:24" x14ac:dyDescent="0.25">
      <c r="A2503" t="s">
        <v>5251</v>
      </c>
      <c r="C2503" t="s">
        <v>4081</v>
      </c>
      <c r="D2503">
        <v>0</v>
      </c>
      <c r="H2503">
        <f t="shared" si="39"/>
        <v>0</v>
      </c>
      <c r="K2503" t="s">
        <v>4</v>
      </c>
      <c r="X2503" t="s">
        <v>17</v>
      </c>
    </row>
    <row r="2504" spans="1:24" x14ac:dyDescent="0.25">
      <c r="A2504" t="s">
        <v>5251</v>
      </c>
      <c r="C2504" t="s">
        <v>4082</v>
      </c>
      <c r="D2504">
        <v>1200</v>
      </c>
      <c r="H2504">
        <f t="shared" si="39"/>
        <v>0</v>
      </c>
      <c r="K2504" t="s">
        <v>4</v>
      </c>
      <c r="X2504" t="s">
        <v>17</v>
      </c>
    </row>
    <row r="2505" spans="1:24" x14ac:dyDescent="0.25">
      <c r="A2505" t="s">
        <v>5251</v>
      </c>
      <c r="C2505" t="s">
        <v>4083</v>
      </c>
      <c r="D2505">
        <v>600</v>
      </c>
      <c r="H2505">
        <f t="shared" si="39"/>
        <v>0</v>
      </c>
      <c r="K2505" t="s">
        <v>4</v>
      </c>
      <c r="X2505" t="s">
        <v>17</v>
      </c>
    </row>
    <row r="2506" spans="1:24" x14ac:dyDescent="0.25">
      <c r="A2506" t="s">
        <v>5251</v>
      </c>
      <c r="C2506" t="s">
        <v>4084</v>
      </c>
      <c r="D2506">
        <v>1</v>
      </c>
      <c r="H2506">
        <f t="shared" si="39"/>
        <v>0</v>
      </c>
      <c r="K2506" t="s">
        <v>4</v>
      </c>
      <c r="X2506" t="s">
        <v>17</v>
      </c>
    </row>
    <row r="2507" spans="1:24" x14ac:dyDescent="0.25">
      <c r="A2507" t="s">
        <v>5251</v>
      </c>
      <c r="C2507" t="s">
        <v>4085</v>
      </c>
      <c r="D2507">
        <v>0</v>
      </c>
      <c r="H2507">
        <f t="shared" si="39"/>
        <v>0</v>
      </c>
      <c r="K2507" t="s">
        <v>4</v>
      </c>
      <c r="X2507" t="s">
        <v>17</v>
      </c>
    </row>
    <row r="2508" spans="1:24" x14ac:dyDescent="0.25">
      <c r="A2508" t="s">
        <v>5251</v>
      </c>
      <c r="C2508" t="s">
        <v>4086</v>
      </c>
      <c r="D2508">
        <v>8</v>
      </c>
      <c r="H2508">
        <f t="shared" si="39"/>
        <v>0</v>
      </c>
      <c r="K2508" t="s">
        <v>4</v>
      </c>
    </row>
    <row r="2509" spans="1:24" x14ac:dyDescent="0.25">
      <c r="A2509" t="s">
        <v>5251</v>
      </c>
      <c r="C2509" t="s">
        <v>4087</v>
      </c>
      <c r="D2509">
        <v>0</v>
      </c>
      <c r="F2509" t="s">
        <v>5495</v>
      </c>
      <c r="H2509" t="str">
        <f t="shared" si="39"/>
        <v xml:space="preserve">Inform about serverside map installation progress - Original Helptext: </v>
      </c>
      <c r="K2509" t="s">
        <v>4</v>
      </c>
    </row>
    <row r="2510" spans="1:24" x14ac:dyDescent="0.25">
      <c r="A2510" t="s">
        <v>5251</v>
      </c>
      <c r="C2510" t="s">
        <v>4088</v>
      </c>
      <c r="D2510">
        <v>0</v>
      </c>
      <c r="H2510">
        <f t="shared" si="39"/>
        <v>0</v>
      </c>
      <c r="K2510" t="s">
        <v>4</v>
      </c>
      <c r="X2510" t="s">
        <v>17</v>
      </c>
    </row>
    <row r="2511" spans="1:24" x14ac:dyDescent="0.25">
      <c r="A2511" t="s">
        <v>5251</v>
      </c>
      <c r="C2511" t="s">
        <v>4089</v>
      </c>
      <c r="D2511">
        <v>0</v>
      </c>
      <c r="H2511">
        <f t="shared" si="39"/>
        <v>0</v>
      </c>
      <c r="K2511" t="s">
        <v>4</v>
      </c>
      <c r="X2511" t="s">
        <v>17</v>
      </c>
    </row>
    <row r="2512" spans="1:24" x14ac:dyDescent="0.25">
      <c r="A2512" t="s">
        <v>5251</v>
      </c>
      <c r="C2512" t="s">
        <v>4090</v>
      </c>
      <c r="D2512">
        <v>-1</v>
      </c>
      <c r="E2512" t="s">
        <v>4091</v>
      </c>
      <c r="H2512" t="str">
        <f t="shared" si="39"/>
        <v>Override for buy status map info. 0 = everyone can buy, 1 = ct only, 2 = t only 3 = nobody</v>
      </c>
      <c r="K2512" t="s">
        <v>4</v>
      </c>
      <c r="S2512" t="s">
        <v>12</v>
      </c>
    </row>
    <row r="2513" spans="1:24" x14ac:dyDescent="0.25">
      <c r="A2513" t="s">
        <v>5251</v>
      </c>
      <c r="C2513" t="s">
        <v>4092</v>
      </c>
      <c r="D2513">
        <v>-1</v>
      </c>
      <c r="H2513">
        <f t="shared" si="39"/>
        <v>0</v>
      </c>
      <c r="S2513" t="s">
        <v>12</v>
      </c>
      <c r="X2513" t="s">
        <v>17</v>
      </c>
    </row>
    <row r="2514" spans="1:24" x14ac:dyDescent="0.25">
      <c r="A2514" t="s">
        <v>5253</v>
      </c>
      <c r="C2514" t="s">
        <v>4093</v>
      </c>
      <c r="D2514">
        <v>0</v>
      </c>
      <c r="E2514" t="s">
        <v>4094</v>
      </c>
      <c r="H2514" t="str">
        <f t="shared" si="39"/>
        <v>Allow cheats on server</v>
      </c>
      <c r="N2514" t="s">
        <v>7</v>
      </c>
      <c r="S2514" t="s">
        <v>12</v>
      </c>
    </row>
    <row r="2515" spans="1:24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H2515" t="str">
        <f t="shared" si="39"/>
        <v>Whether the server will attempt to clamp velocities that could cause physics bugs or crashes.</v>
      </c>
      <c r="S2515" t="s">
        <v>12</v>
      </c>
      <c r="X2515" t="s">
        <v>17</v>
      </c>
    </row>
    <row r="2516" spans="1:24" x14ac:dyDescent="0.25">
      <c r="A2516" t="s">
        <v>5251</v>
      </c>
      <c r="C2516" t="s">
        <v>4097</v>
      </c>
      <c r="D2516" t="s">
        <v>25</v>
      </c>
      <c r="E2516" t="s">
        <v>4098</v>
      </c>
      <c r="H2516" t="str">
        <f t="shared" si="39"/>
        <v>Clear memory of server side hints displayed to the player.</v>
      </c>
    </row>
    <row r="2517" spans="1:24" x14ac:dyDescent="0.25">
      <c r="A2517" t="s">
        <v>5251</v>
      </c>
      <c r="C2517" t="s">
        <v>4099</v>
      </c>
      <c r="D2517">
        <v>0</v>
      </c>
      <c r="E2517" t="s">
        <v>4100</v>
      </c>
      <c r="H2517" t="str">
        <f t="shared" si="39"/>
        <v>cl_cmdrate is moved to within sv_client_cmdrate_difference units of cl_updaterate before it is clamped between sv_mincmdrate an</v>
      </c>
      <c r="S2517" t="s">
        <v>12</v>
      </c>
    </row>
    <row r="2518" spans="1:24" x14ac:dyDescent="0.25">
      <c r="A2518" t="s">
        <v>5251</v>
      </c>
      <c r="C2518" t="s">
        <v>4101</v>
      </c>
      <c r="D2518">
        <v>30</v>
      </c>
      <c r="E2518" t="s">
        <v>4102</v>
      </c>
      <c r="H2518" t="str">
        <f t="shared" si="39"/>
        <v>The server tries to keep each player's m_nTickBase withing this many msecs of the server absolute tickcount</v>
      </c>
      <c r="K2518" t="s">
        <v>4</v>
      </c>
    </row>
    <row r="2519" spans="1:24" x14ac:dyDescent="0.25">
      <c r="A2519" t="s">
        <v>5251</v>
      </c>
      <c r="C2519" t="s">
        <v>4103</v>
      </c>
      <c r="D2519">
        <v>1</v>
      </c>
      <c r="E2519" t="s">
        <v>4104</v>
      </c>
      <c r="H2519" t="str">
        <f t="shared" si="39"/>
        <v>Enable server-side close captioning: 0 = disabled; 1 = enabled as text chat; 2 = enabled for all sounds</v>
      </c>
      <c r="S2519" t="s">
        <v>12</v>
      </c>
      <c r="X2519" t="s">
        <v>17</v>
      </c>
    </row>
    <row r="2520" spans="1:24" x14ac:dyDescent="0.25">
      <c r="A2520" t="s">
        <v>5251</v>
      </c>
      <c r="C2520" t="s">
        <v>4105</v>
      </c>
      <c r="D2520">
        <v>0</v>
      </c>
      <c r="E2520" t="s">
        <v>4106</v>
      </c>
      <c r="H2520" t="str">
        <f t="shared" si="39"/>
        <v>When set, ignores coach communication restrictions.</v>
      </c>
      <c r="S2520" t="s">
        <v>12</v>
      </c>
      <c r="X2520" t="s">
        <v>17</v>
      </c>
    </row>
    <row r="2521" spans="1:24" x14ac:dyDescent="0.25">
      <c r="A2521" t="s">
        <v>5251</v>
      </c>
      <c r="C2521" t="s">
        <v>4107</v>
      </c>
      <c r="D2521">
        <v>0</v>
      </c>
      <c r="E2521" t="s">
        <v>4108</v>
      </c>
      <c r="H2521" t="str">
        <f t="shared" si="39"/>
        <v>Allows spectating and communicating with a team ( 'coach t' or 'coach ct' )</v>
      </c>
      <c r="S2521" t="s">
        <v>12</v>
      </c>
      <c r="X2521" t="s">
        <v>17</v>
      </c>
    </row>
    <row r="2522" spans="1:24" x14ac:dyDescent="0.25">
      <c r="A2522" t="s">
        <v>5251</v>
      </c>
      <c r="C2522" t="s">
        <v>4109</v>
      </c>
      <c r="D2522">
        <v>1</v>
      </c>
      <c r="E2522" t="s">
        <v>4110</v>
      </c>
      <c r="H2522" t="str">
        <f t="shared" si="39"/>
        <v>Enable to force certain client convars to minimum/maximum values to help prevent competitive advantages.</v>
      </c>
      <c r="N2522" t="s">
        <v>7</v>
      </c>
      <c r="S2522" t="s">
        <v>12</v>
      </c>
      <c r="X2522" t="s">
        <v>17</v>
      </c>
    </row>
    <row r="2523" spans="1:24" x14ac:dyDescent="0.25">
      <c r="A2523" t="s">
        <v>5253</v>
      </c>
      <c r="C2523" t="s">
        <v>4111</v>
      </c>
      <c r="D2523">
        <v>0</v>
      </c>
      <c r="E2523" t="s">
        <v>4112</v>
      </c>
      <c r="H2523" t="str">
        <f t="shared" si="39"/>
        <v>Enable to force the server to show 5v5 scoreboards and allows spectators to see characters through walls.</v>
      </c>
      <c r="N2523" t="s">
        <v>7</v>
      </c>
      <c r="S2523" t="s">
        <v>12</v>
      </c>
      <c r="X2523" t="s">
        <v>17</v>
      </c>
    </row>
    <row r="2524" spans="1:24" x14ac:dyDescent="0.25">
      <c r="A2524" t="s">
        <v>5253</v>
      </c>
      <c r="C2524" t="s">
        <v>4113</v>
      </c>
      <c r="D2524">
        <v>0</v>
      </c>
      <c r="E2524" t="s">
        <v>4114</v>
      </c>
      <c r="H2524" t="str">
        <f t="shared" si="39"/>
        <v>Whether the server enforces file consistency for critical files</v>
      </c>
      <c r="S2524" t="s">
        <v>12</v>
      </c>
    </row>
    <row r="2525" spans="1:24" x14ac:dyDescent="0.25">
      <c r="A2525" t="s">
        <v>5253</v>
      </c>
      <c r="C2525" t="s">
        <v>4115</v>
      </c>
      <c r="D2525">
        <v>0</v>
      </c>
      <c r="E2525" t="s">
        <v>4116</v>
      </c>
      <c r="H2525" t="str">
        <f t="shared" si="39"/>
        <v>Contact email for server sysop</v>
      </c>
      <c r="N2525" t="s">
        <v>7</v>
      </c>
    </row>
    <row r="2526" spans="1:24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  <c r="H2526" t="str">
        <f t="shared" si="39"/>
        <v>sv_cs_dump_econ_item_stringtable</v>
      </c>
    </row>
    <row r="2527" spans="1:24" x14ac:dyDescent="0.25">
      <c r="A2527" t="s">
        <v>5253</v>
      </c>
      <c r="C2527" t="s">
        <v>4118</v>
      </c>
      <c r="D2527">
        <v>200</v>
      </c>
      <c r="H2527">
        <f t="shared" si="39"/>
        <v>0</v>
      </c>
      <c r="S2527" t="s">
        <v>12</v>
      </c>
      <c r="X2527" t="s">
        <v>17</v>
      </c>
    </row>
    <row r="2528" spans="1:24" x14ac:dyDescent="0.25">
      <c r="A2528" t="s">
        <v>5251</v>
      </c>
      <c r="C2528" t="s">
        <v>4119</v>
      </c>
      <c r="D2528">
        <v>-1</v>
      </c>
      <c r="E2528" t="s">
        <v>4120</v>
      </c>
      <c r="H2528" t="str">
        <f t="shared" si="39"/>
        <v>Force cts to spawn on a bombsite</v>
      </c>
      <c r="K2528" t="s">
        <v>4</v>
      </c>
    </row>
    <row r="2529" spans="1:24" x14ac:dyDescent="0.25">
      <c r="A2529" t="s">
        <v>5253</v>
      </c>
      <c r="C2529" t="s">
        <v>4121</v>
      </c>
      <c r="D2529">
        <v>1</v>
      </c>
      <c r="E2529" t="s">
        <v>4122</v>
      </c>
      <c r="H2529" t="str">
        <f t="shared" si="39"/>
        <v>Turn this off to disable the player's damage feed in the console after getting killed.</v>
      </c>
      <c r="K2529" t="s">
        <v>4</v>
      </c>
      <c r="S2529" t="s">
        <v>12</v>
      </c>
    </row>
    <row r="2530" spans="1:24" x14ac:dyDescent="0.25">
      <c r="A2530" t="s">
        <v>5251</v>
      </c>
      <c r="C2530" t="s">
        <v>4123</v>
      </c>
      <c r="D2530">
        <v>0</v>
      </c>
      <c r="E2530" t="s">
        <v>4124</v>
      </c>
      <c r="H2530" t="str">
        <f t="shared" si="39"/>
        <v>Set this to 0 to allow direct connects to a game in progress even if no presents are present</v>
      </c>
      <c r="K2530" t="s">
        <v>4</v>
      </c>
    </row>
    <row r="2531" spans="1:24" x14ac:dyDescent="0.25">
      <c r="A2531" t="s">
        <v>5253</v>
      </c>
      <c r="C2531" t="s">
        <v>4125</v>
      </c>
      <c r="D2531">
        <v>0</v>
      </c>
      <c r="E2531" t="s">
        <v>4126</v>
      </c>
      <c r="H2531" t="str">
        <f t="shared" si="39"/>
        <v>Dead players can speak (voice, text) to the living</v>
      </c>
      <c r="N2531" t="s">
        <v>7</v>
      </c>
      <c r="S2531" t="s">
        <v>12</v>
      </c>
      <c r="X2531" t="s">
        <v>17</v>
      </c>
    </row>
    <row r="2532" spans="1:24" x14ac:dyDescent="0.25">
      <c r="A2532" t="s">
        <v>5251</v>
      </c>
      <c r="C2532" t="s">
        <v>4127</v>
      </c>
      <c r="D2532">
        <v>0</v>
      </c>
      <c r="H2532">
        <f t="shared" si="39"/>
        <v>0</v>
      </c>
      <c r="K2532" t="s">
        <v>4</v>
      </c>
    </row>
    <row r="2533" spans="1:24" x14ac:dyDescent="0.25">
      <c r="A2533" t="s">
        <v>5251</v>
      </c>
      <c r="C2533" t="s">
        <v>4128</v>
      </c>
      <c r="D2533">
        <v>0</v>
      </c>
      <c r="E2533" t="s">
        <v>4129</v>
      </c>
      <c r="H2533" t="str">
        <f t="shared" si="39"/>
        <v>Make sure entities correctly report whether or not their network data has changed.</v>
      </c>
    </row>
    <row r="2534" spans="1:24" x14ac:dyDescent="0.25">
      <c r="A2534" t="s">
        <v>5251</v>
      </c>
      <c r="C2534" t="s">
        <v>4130</v>
      </c>
      <c r="D2534">
        <v>0</v>
      </c>
      <c r="E2534" t="s">
        <v>4131</v>
      </c>
      <c r="H2534" t="str">
        <f t="shared" si="39"/>
        <v>If set, clients won't slam the player model render settings each frame for immunity [mod authors use this]</v>
      </c>
      <c r="S2534" t="s">
        <v>12</v>
      </c>
      <c r="X2534" t="s">
        <v>17</v>
      </c>
    </row>
    <row r="2535" spans="1:24" x14ac:dyDescent="0.25">
      <c r="A2535" t="s">
        <v>5251</v>
      </c>
      <c r="C2535" t="s">
        <v>4132</v>
      </c>
      <c r="D2535">
        <v>0</v>
      </c>
      <c r="E2535" t="s">
        <v>4133</v>
      </c>
      <c r="H2535" t="str">
        <f t="shared" si="39"/>
        <v>Disallow interpolating between observer targets on this server.</v>
      </c>
      <c r="S2535" t="s">
        <v>12</v>
      </c>
      <c r="X2535" t="s">
        <v>17</v>
      </c>
    </row>
    <row r="2536" spans="1:24" x14ac:dyDescent="0.25">
      <c r="A2536" t="s">
        <v>5251</v>
      </c>
      <c r="C2536" t="s">
        <v>4134</v>
      </c>
      <c r="D2536">
        <v>1</v>
      </c>
      <c r="H2536">
        <f t="shared" si="39"/>
        <v>0</v>
      </c>
      <c r="K2536" t="s">
        <v>4</v>
      </c>
      <c r="L2536" t="s">
        <v>5</v>
      </c>
      <c r="S2536" t="s">
        <v>12</v>
      </c>
    </row>
    <row r="2537" spans="1:24" x14ac:dyDescent="0.25">
      <c r="A2537" t="s">
        <v>5253</v>
      </c>
      <c r="C2537" t="s">
        <v>4135</v>
      </c>
      <c r="D2537">
        <v>0</v>
      </c>
      <c r="E2537" t="s">
        <v>4136</v>
      </c>
      <c r="H2537" t="str">
        <f t="shared" si="39"/>
        <v>0: regular radar; 1: always disabled; 2: disabled in warmup</v>
      </c>
      <c r="S2537" t="s">
        <v>12</v>
      </c>
      <c r="X2537" t="s">
        <v>17</v>
      </c>
    </row>
    <row r="2538" spans="1:24" x14ac:dyDescent="0.25">
      <c r="A2538" t="s">
        <v>5253</v>
      </c>
      <c r="C2538" t="s">
        <v>4137</v>
      </c>
      <c r="D2538">
        <v>0</v>
      </c>
      <c r="E2538" t="s">
        <v>4138</v>
      </c>
      <c r="H2538" t="str">
        <f t="shared" si="39"/>
        <v>Location from which clients can download missing files</v>
      </c>
      <c r="S2538" t="s">
        <v>12</v>
      </c>
    </row>
    <row r="2539" spans="1:24" x14ac:dyDescent="0.25">
      <c r="A2539" t="s">
        <v>5251</v>
      </c>
      <c r="C2539" t="s">
        <v>4139</v>
      </c>
      <c r="D2539">
        <v>2</v>
      </c>
      <c r="H2539">
        <f t="shared" si="39"/>
        <v>0</v>
      </c>
      <c r="K2539" t="s">
        <v>4</v>
      </c>
      <c r="S2539" t="s">
        <v>12</v>
      </c>
    </row>
    <row r="2540" spans="1:24" x14ac:dyDescent="0.25">
      <c r="A2540" t="s">
        <v>5251</v>
      </c>
      <c r="C2540" t="s">
        <v>4140</v>
      </c>
      <c r="D2540">
        <v>5</v>
      </c>
      <c r="H2540">
        <f t="shared" si="39"/>
        <v>0</v>
      </c>
      <c r="K2540" t="s">
        <v>4</v>
      </c>
      <c r="S2540" t="s">
        <v>12</v>
      </c>
    </row>
    <row r="2541" spans="1:24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  <c r="H2541" t="str">
        <f t="shared" si="39"/>
        <v>Dump server class infos.</v>
      </c>
    </row>
    <row r="2542" spans="1:24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  <c r="H2542" t="str">
        <f t="shared" si="39"/>
        <v>Dump server class table matching the pattern (substr).</v>
      </c>
    </row>
    <row r="2543" spans="1:24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  <c r="H2543" t="str">
        <f t="shared" si="39"/>
        <v>Dump serialized entity allocations stats.</v>
      </c>
    </row>
    <row r="2544" spans="1:24" x14ac:dyDescent="0.25">
      <c r="A2544" t="s">
        <v>5251</v>
      </c>
      <c r="C2544" t="s">
        <v>4147</v>
      </c>
      <c r="D2544">
        <v>0</v>
      </c>
      <c r="H2544">
        <f t="shared" si="39"/>
        <v>0</v>
      </c>
      <c r="L2544" t="s">
        <v>5</v>
      </c>
    </row>
    <row r="2545" spans="1:24" x14ac:dyDescent="0.25">
      <c r="A2545" t="s">
        <v>5253</v>
      </c>
      <c r="C2545" t="s">
        <v>4148</v>
      </c>
      <c r="D2545">
        <v>0</v>
      </c>
      <c r="E2545" t="s">
        <v>4149</v>
      </c>
      <c r="H2545" t="str">
        <f t="shared" si="39"/>
        <v>When enabled player names won't have the (#) in front of their names its the same as another player.</v>
      </c>
      <c r="S2545" t="s">
        <v>12</v>
      </c>
    </row>
    <row r="2546" spans="1:24" x14ac:dyDescent="0.25">
      <c r="A2546" t="s">
        <v>5252</v>
      </c>
      <c r="C2546" t="s">
        <v>4150</v>
      </c>
      <c r="D2546">
        <v>1</v>
      </c>
      <c r="E2546" t="s">
        <v>4151</v>
      </c>
      <c r="H2546" t="str">
        <f t="shared" si="39"/>
        <v>Whether players are automatically assigned a DZ team</v>
      </c>
      <c r="K2546" t="s">
        <v>4</v>
      </c>
    </row>
    <row r="2547" spans="1:24" x14ac:dyDescent="0.25">
      <c r="A2547" t="s">
        <v>5252</v>
      </c>
      <c r="C2547" t="s">
        <v>4152</v>
      </c>
      <c r="D2547">
        <v>50</v>
      </c>
      <c r="E2547" t="s">
        <v>4153</v>
      </c>
      <c r="H2547" t="str">
        <f t="shared" si="39"/>
        <v>Size of a cash bundle</v>
      </c>
      <c r="K2547" t="s">
        <v>4</v>
      </c>
      <c r="S2547" t="s">
        <v>12</v>
      </c>
    </row>
    <row r="2548" spans="1:24" x14ac:dyDescent="0.25">
      <c r="A2548" t="s">
        <v>5252</v>
      </c>
      <c r="C2548" t="s">
        <v>4154</v>
      </c>
      <c r="D2548">
        <v>13</v>
      </c>
      <c r="E2548" t="s">
        <v>4155</v>
      </c>
      <c r="H2548" t="str">
        <f t="shared" si="39"/>
        <v>Size of a mega cash bundle</v>
      </c>
      <c r="K2548" t="s">
        <v>4</v>
      </c>
      <c r="S2548" t="s">
        <v>12</v>
      </c>
    </row>
    <row r="2549" spans="1:24" x14ac:dyDescent="0.25">
      <c r="A2549" t="s">
        <v>5252</v>
      </c>
      <c r="C2549" t="s">
        <v>4156</v>
      </c>
      <c r="D2549">
        <v>10</v>
      </c>
      <c r="E2549" t="s">
        <v>4157</v>
      </c>
      <c r="H2549" t="str">
        <f t="shared" si="39"/>
        <v>Cash bundles to award for a successful contract kill</v>
      </c>
      <c r="K2549" t="s">
        <v>4</v>
      </c>
      <c r="S2549" t="s">
        <v>12</v>
      </c>
    </row>
    <row r="2550" spans="1:24" x14ac:dyDescent="0.25">
      <c r="A2550" t="s">
        <v>5252</v>
      </c>
      <c r="C2550" t="s">
        <v>4158</v>
      </c>
      <c r="D2550">
        <v>1</v>
      </c>
      <c r="H2550">
        <f t="shared" si="39"/>
        <v>0</v>
      </c>
      <c r="S2550" t="s">
        <v>12</v>
      </c>
      <c r="X2550" t="s">
        <v>17</v>
      </c>
    </row>
    <row r="2551" spans="1:24" x14ac:dyDescent="0.25">
      <c r="A2551" t="s">
        <v>5252</v>
      </c>
      <c r="C2551" t="s">
        <v>4159</v>
      </c>
      <c r="D2551">
        <v>0</v>
      </c>
      <c r="H2551">
        <f t="shared" si="39"/>
        <v>0</v>
      </c>
      <c r="S2551" t="s">
        <v>12</v>
      </c>
      <c r="X2551" t="s">
        <v>17</v>
      </c>
    </row>
    <row r="2552" spans="1:24" x14ac:dyDescent="0.25">
      <c r="A2552" t="s">
        <v>5252</v>
      </c>
      <c r="C2552" t="s">
        <v>4160</v>
      </c>
      <c r="D2552">
        <v>2</v>
      </c>
      <c r="E2552" t="s">
        <v>4161</v>
      </c>
      <c r="H2552" t="str">
        <f t="shared" si="39"/>
        <v>Number of cash bundles to award for exploring a new sector</v>
      </c>
      <c r="K2552" t="s">
        <v>4</v>
      </c>
      <c r="S2552" t="s">
        <v>12</v>
      </c>
    </row>
    <row r="2553" spans="1:24" x14ac:dyDescent="0.25">
      <c r="A2553" t="s">
        <v>5252</v>
      </c>
      <c r="C2553" t="s">
        <v>4162</v>
      </c>
      <c r="D2553">
        <v>2</v>
      </c>
      <c r="E2553" t="s">
        <v>4163</v>
      </c>
      <c r="H2553" t="str">
        <f t="shared" si="39"/>
        <v>Number of BONUS cash bundles to award for exploring (if the player has the item/upgrade)</v>
      </c>
      <c r="K2553" t="s">
        <v>4</v>
      </c>
      <c r="S2553" t="s">
        <v>12</v>
      </c>
    </row>
    <row r="2554" spans="1:24" x14ac:dyDescent="0.25">
      <c r="A2554" t="s">
        <v>5252</v>
      </c>
      <c r="C2554" t="s">
        <v>4164</v>
      </c>
      <c r="D2554">
        <v>18</v>
      </c>
      <c r="E2554" t="s">
        <v>4165</v>
      </c>
      <c r="H2554" t="str">
        <f t="shared" si="39"/>
        <v>Number of cash bundles to award for rescuing a hostage</v>
      </c>
      <c r="S2554" t="s">
        <v>12</v>
      </c>
      <c r="X2554" t="s">
        <v>17</v>
      </c>
    </row>
    <row r="2555" spans="1:24" x14ac:dyDescent="0.25">
      <c r="A2555" t="s">
        <v>5252</v>
      </c>
      <c r="C2555" t="s">
        <v>4166</v>
      </c>
      <c r="D2555">
        <v>0</v>
      </c>
      <c r="E2555" t="s">
        <v>4167</v>
      </c>
      <c r="H2555" t="str">
        <f t="shared" si="39"/>
        <v>Whether non-server admins are allowed to use the dz_jointeam command</v>
      </c>
      <c r="K2555" t="s">
        <v>4</v>
      </c>
    </row>
    <row r="2556" spans="1:24" x14ac:dyDescent="0.25">
      <c r="A2556" t="s">
        <v>5252</v>
      </c>
      <c r="C2556" t="s">
        <v>4168</v>
      </c>
      <c r="D2556">
        <v>1</v>
      </c>
      <c r="H2556">
        <f t="shared" si="39"/>
        <v>0</v>
      </c>
      <c r="K2556" t="s">
        <v>4</v>
      </c>
      <c r="S2556" t="s">
        <v>12</v>
      </c>
    </row>
    <row r="2557" spans="1:24" x14ac:dyDescent="0.25">
      <c r="A2557" t="s">
        <v>5252</v>
      </c>
      <c r="C2557" t="s">
        <v>4169</v>
      </c>
      <c r="D2557" t="s">
        <v>25</v>
      </c>
      <c r="H2557">
        <f t="shared" si="39"/>
        <v>0</v>
      </c>
    </row>
    <row r="2558" spans="1:24" x14ac:dyDescent="0.25">
      <c r="A2558" t="s">
        <v>5252</v>
      </c>
      <c r="C2558" t="s">
        <v>4170</v>
      </c>
      <c r="D2558">
        <v>120</v>
      </c>
      <c r="H2558">
        <f t="shared" si="39"/>
        <v>0</v>
      </c>
      <c r="K2558" t="s">
        <v>4</v>
      </c>
    </row>
    <row r="2559" spans="1:24" x14ac:dyDescent="0.25">
      <c r="A2559" t="s">
        <v>5252</v>
      </c>
      <c r="C2559" t="s">
        <v>4171</v>
      </c>
      <c r="D2559">
        <v>0</v>
      </c>
      <c r="H2559">
        <f t="shared" si="39"/>
        <v>0</v>
      </c>
      <c r="K2559" t="s">
        <v>4</v>
      </c>
    </row>
    <row r="2560" spans="1:24" x14ac:dyDescent="0.25">
      <c r="A2560" t="s">
        <v>5252</v>
      </c>
      <c r="C2560" t="s">
        <v>4172</v>
      </c>
      <c r="D2560">
        <v>120</v>
      </c>
      <c r="H2560">
        <f t="shared" si="39"/>
        <v>0</v>
      </c>
      <c r="K2560" t="s">
        <v>4</v>
      </c>
    </row>
    <row r="2561" spans="1:24" x14ac:dyDescent="0.25">
      <c r="A2561" t="s">
        <v>5252</v>
      </c>
      <c r="C2561" t="s">
        <v>4173</v>
      </c>
      <c r="D2561" t="s">
        <v>25</v>
      </c>
      <c r="H2561">
        <f t="shared" si="39"/>
        <v>0</v>
      </c>
    </row>
    <row r="2562" spans="1:24" x14ac:dyDescent="0.25">
      <c r="A2562" t="s">
        <v>5252</v>
      </c>
      <c r="C2562" t="s">
        <v>4174</v>
      </c>
      <c r="D2562">
        <v>800</v>
      </c>
      <c r="H2562">
        <f t="shared" si="39"/>
        <v>0</v>
      </c>
      <c r="K2562" t="s">
        <v>4</v>
      </c>
    </row>
    <row r="2563" spans="1:24" x14ac:dyDescent="0.25">
      <c r="A2563" t="s">
        <v>5252</v>
      </c>
      <c r="C2563" t="s">
        <v>4175</v>
      </c>
      <c r="D2563">
        <v>2</v>
      </c>
      <c r="E2563" t="s">
        <v>4176</v>
      </c>
      <c r="H2563" t="str">
        <f t="shared" ref="H2563:H2626" si="40">IF(F2563="",E2563, F2563 &amp; " - Original Helptext: " &amp;E2563)</f>
        <v>Number of cash bundles to award for eliminating a squad</v>
      </c>
      <c r="S2563" t="s">
        <v>12</v>
      </c>
      <c r="X2563" t="s">
        <v>17</v>
      </c>
    </row>
    <row r="2564" spans="1:24" x14ac:dyDescent="0.25">
      <c r="A2564" t="s">
        <v>5252</v>
      </c>
      <c r="C2564" t="s">
        <v>4177</v>
      </c>
      <c r="D2564">
        <v>1</v>
      </c>
      <c r="E2564" t="s">
        <v>4178</v>
      </c>
      <c r="H2564" t="str">
        <f t="shared" si="40"/>
        <v>Max players allowed per team</v>
      </c>
      <c r="S2564" t="s">
        <v>12</v>
      </c>
      <c r="X2564" t="s">
        <v>17</v>
      </c>
    </row>
    <row r="2565" spans="1:24" x14ac:dyDescent="0.25">
      <c r="A2565" t="s">
        <v>5252</v>
      </c>
      <c r="C2565" t="s">
        <v>4179</v>
      </c>
      <c r="D2565">
        <v>1</v>
      </c>
      <c r="H2565">
        <f t="shared" si="40"/>
        <v>0</v>
      </c>
      <c r="K2565" t="s">
        <v>4</v>
      </c>
    </row>
    <row r="2566" spans="1:24" x14ac:dyDescent="0.25">
      <c r="A2566" t="s">
        <v>5252</v>
      </c>
      <c r="C2566" t="s">
        <v>4180</v>
      </c>
      <c r="D2566">
        <v>15</v>
      </c>
      <c r="E2566" t="s">
        <v>4181</v>
      </c>
      <c r="H2566" t="str">
        <f t="shared" si="40"/>
        <v>How many money stacks players are rewarded each danger zone wave</v>
      </c>
      <c r="S2566" t="s">
        <v>12</v>
      </c>
      <c r="X2566" t="s">
        <v>17</v>
      </c>
    </row>
    <row r="2567" spans="1:24" x14ac:dyDescent="0.25">
      <c r="A2567" t="s">
        <v>5252</v>
      </c>
      <c r="C2567" t="s">
        <v>4182</v>
      </c>
      <c r="D2567">
        <v>5</v>
      </c>
      <c r="E2567" t="s">
        <v>4183</v>
      </c>
      <c r="H2567" t="str">
        <f t="shared" si="40"/>
        <v>How many bonus money stacks players are rewarded each danger zone wave when they have the bonus item</v>
      </c>
      <c r="S2567" t="s">
        <v>12</v>
      </c>
      <c r="X2567" t="s">
        <v>17</v>
      </c>
    </row>
    <row r="2568" spans="1:24" x14ac:dyDescent="0.25">
      <c r="A2568" t="s">
        <v>5252</v>
      </c>
      <c r="C2568" t="s">
        <v>4184</v>
      </c>
      <c r="D2568">
        <v>1</v>
      </c>
      <c r="H2568">
        <f t="shared" si="40"/>
        <v>0</v>
      </c>
      <c r="K2568" t="s">
        <v>4</v>
      </c>
      <c r="L2568" t="s">
        <v>5</v>
      </c>
    </row>
    <row r="2569" spans="1:24" x14ac:dyDescent="0.25">
      <c r="A2569" t="s">
        <v>5252</v>
      </c>
      <c r="C2569" t="s">
        <v>4185</v>
      </c>
      <c r="D2569">
        <v>2200</v>
      </c>
      <c r="H2569">
        <f t="shared" si="40"/>
        <v>0</v>
      </c>
      <c r="S2569" t="s">
        <v>12</v>
      </c>
      <c r="X2569" t="s">
        <v>17</v>
      </c>
    </row>
    <row r="2570" spans="1:24" x14ac:dyDescent="0.25">
      <c r="A2570" t="s">
        <v>5251</v>
      </c>
      <c r="C2570" t="s">
        <v>4186</v>
      </c>
      <c r="D2570">
        <v>0</v>
      </c>
      <c r="E2570" t="s">
        <v>4187</v>
      </c>
      <c r="H2570" t="str">
        <f t="shared" si="40"/>
        <v>When enabled, this allows for entity packing to use the property changes for building up the data. This is many times faster, b</v>
      </c>
    </row>
    <row r="2571" spans="1:24" x14ac:dyDescent="0.25">
      <c r="A2571" t="s">
        <v>5253</v>
      </c>
      <c r="C2571" t="s">
        <v>4188</v>
      </c>
      <c r="D2571">
        <v>0</v>
      </c>
      <c r="E2571" t="s">
        <v>4189</v>
      </c>
      <c r="H2571" t="str">
        <f t="shared" si="40"/>
        <v>Allow player speed to exceed maximum running speed</v>
      </c>
      <c r="S2571" t="s">
        <v>12</v>
      </c>
      <c r="X2571" t="s">
        <v>17</v>
      </c>
    </row>
    <row r="2572" spans="1:24" x14ac:dyDescent="0.25">
      <c r="A2572" t="s">
        <v>5251</v>
      </c>
      <c r="C2572" t="s">
        <v>4190</v>
      </c>
      <c r="D2572">
        <v>1</v>
      </c>
      <c r="H2572">
        <f t="shared" si="40"/>
        <v>0</v>
      </c>
      <c r="K2572" t="s">
        <v>4</v>
      </c>
      <c r="S2572" t="s">
        <v>12</v>
      </c>
    </row>
    <row r="2573" spans="1:24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H2573" t="str">
        <f t="shared" si="40"/>
        <v>ExoJump forwards velocity bonus when duck jumping</v>
      </c>
      <c r="S2573" t="s">
        <v>12</v>
      </c>
      <c r="X2573" t="s">
        <v>17</v>
      </c>
    </row>
    <row r="2574" spans="1:24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H2574" t="str">
        <f t="shared" si="40"/>
        <v>ExoJump upwards bonus when holding the jump button</v>
      </c>
      <c r="S2574" t="s">
        <v>12</v>
      </c>
      <c r="X2574" t="s">
        <v>17</v>
      </c>
    </row>
    <row r="2575" spans="1:24" x14ac:dyDescent="0.25">
      <c r="A2575" t="s">
        <v>5251</v>
      </c>
      <c r="C2575" t="s">
        <v>4195</v>
      </c>
      <c r="D2575">
        <v>0</v>
      </c>
      <c r="E2575" t="s">
        <v>4196</v>
      </c>
      <c r="H2575" t="str">
        <f t="shared" si="40"/>
        <v>Stamina penalty for jumping with exo legs</v>
      </c>
      <c r="S2575" t="s">
        <v>12</v>
      </c>
      <c r="X2575" t="s">
        <v>17</v>
      </c>
    </row>
    <row r="2576" spans="1:24" x14ac:dyDescent="0.25">
      <c r="A2576" t="s">
        <v>5251</v>
      </c>
      <c r="C2576" t="s">
        <v>4197</v>
      </c>
      <c r="D2576">
        <v>0</v>
      </c>
      <c r="E2576" t="s">
        <v>4198</v>
      </c>
      <c r="H2576" t="str">
        <f t="shared" si="40"/>
        <v>Stamina penalty for landing with exo legs</v>
      </c>
      <c r="S2576" t="s">
        <v>12</v>
      </c>
      <c r="X2576" t="s">
        <v>17</v>
      </c>
    </row>
    <row r="2577" spans="1:24" x14ac:dyDescent="0.25">
      <c r="A2577" t="s">
        <v>5253</v>
      </c>
      <c r="C2577" t="s">
        <v>4199</v>
      </c>
      <c r="D2577">
        <v>0</v>
      </c>
      <c r="H2577">
        <f t="shared" si="40"/>
        <v>0</v>
      </c>
      <c r="S2577" t="s">
        <v>12</v>
      </c>
      <c r="X2577" t="s">
        <v>17</v>
      </c>
    </row>
    <row r="2578" spans="1:24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H2578" t="str">
        <f t="shared" si="40"/>
        <v>ExoJump fall damage multiplier</v>
      </c>
      <c r="S2578" t="s">
        <v>12</v>
      </c>
      <c r="X2578" t="s">
        <v>17</v>
      </c>
    </row>
    <row r="2579" spans="1:24" x14ac:dyDescent="0.25">
      <c r="A2579" t="s">
        <v>5251</v>
      </c>
      <c r="C2579" t="s">
        <v>4202</v>
      </c>
      <c r="D2579">
        <v>1</v>
      </c>
      <c r="H2579">
        <f t="shared" si="40"/>
        <v>0</v>
      </c>
      <c r="S2579" t="s">
        <v>12</v>
      </c>
      <c r="X2579" t="s">
        <v>17</v>
      </c>
    </row>
    <row r="2580" spans="1:24" x14ac:dyDescent="0.25">
      <c r="A2580" t="s">
        <v>5251</v>
      </c>
      <c r="C2580" t="s">
        <v>4203</v>
      </c>
      <c r="D2580">
        <v>1</v>
      </c>
      <c r="E2580" t="s">
        <v>4204</v>
      </c>
      <c r="H2580" t="str">
        <f t="shared" si="40"/>
        <v>Scale damage when distributed across two players</v>
      </c>
      <c r="S2580" t="s">
        <v>12</v>
      </c>
      <c r="X2580" t="s">
        <v>17</v>
      </c>
    </row>
    <row r="2581" spans="1:24" x14ac:dyDescent="0.25">
      <c r="A2581" t="s">
        <v>5251</v>
      </c>
      <c r="C2581" t="s">
        <v>4205</v>
      </c>
      <c r="D2581">
        <v>0</v>
      </c>
      <c r="E2581" t="s">
        <v>4206</v>
      </c>
      <c r="H2581" t="str">
        <f t="shared" si="40"/>
        <v>Landing on a another player's head gives them this ratio of the damage.</v>
      </c>
      <c r="S2581" t="s">
        <v>12</v>
      </c>
      <c r="X2581" t="s">
        <v>17</v>
      </c>
    </row>
    <row r="2582" spans="1:24" x14ac:dyDescent="0.25">
      <c r="A2582" t="s">
        <v>5251</v>
      </c>
      <c r="C2582" t="s">
        <v>4207</v>
      </c>
      <c r="D2582">
        <v>0</v>
      </c>
      <c r="E2582" t="s">
        <v>4208</v>
      </c>
      <c r="H2582" t="str">
        <f t="shared" si="40"/>
        <v>How frequent to hear the player's step sound or how fast they appear to be running from first person.</v>
      </c>
      <c r="L2582" t="s">
        <v>5</v>
      </c>
      <c r="S2582" t="s">
        <v>12</v>
      </c>
      <c r="X2582" t="s">
        <v>17</v>
      </c>
    </row>
    <row r="2583" spans="1:24" x14ac:dyDescent="0.25">
      <c r="A2583" t="s">
        <v>5251</v>
      </c>
      <c r="C2583" t="s">
        <v>4209</v>
      </c>
      <c r="D2583">
        <v>0</v>
      </c>
      <c r="H2583">
        <f t="shared" si="40"/>
        <v>0</v>
      </c>
      <c r="S2583" t="s">
        <v>12</v>
      </c>
      <c r="X2583" t="s">
        <v>17</v>
      </c>
    </row>
    <row r="2584" spans="1:24" x14ac:dyDescent="0.25">
      <c r="A2584" t="s">
        <v>5251</v>
      </c>
      <c r="C2584" t="s">
        <v>4210</v>
      </c>
      <c r="D2584">
        <v>0</v>
      </c>
      <c r="E2584" t="s">
        <v>4211</v>
      </c>
      <c r="H2584" t="str">
        <f t="shared" si="40"/>
        <v>Will transmit all entities to client, regardless of PVS conditions (will still skip based on transmit flags, however).</v>
      </c>
      <c r="K2584" t="s">
        <v>4</v>
      </c>
    </row>
    <row r="2585" spans="1:24" x14ac:dyDescent="0.25">
      <c r="A2585" t="s">
        <v>5251</v>
      </c>
      <c r="C2585" t="s">
        <v>4212</v>
      </c>
      <c r="D2585">
        <v>0</v>
      </c>
      <c r="E2585" t="s">
        <v>4213</v>
      </c>
      <c r="H2585" t="str">
        <f t="shared" si="40"/>
        <v>Will transmit players to all clients regardless of PVS checks.</v>
      </c>
      <c r="K2585" t="s">
        <v>4</v>
      </c>
    </row>
    <row r="2586" spans="1:24" x14ac:dyDescent="0.25">
      <c r="A2586" t="s">
        <v>5251</v>
      </c>
      <c r="C2586" t="s">
        <v>4214</v>
      </c>
      <c r="D2586">
        <v>0</v>
      </c>
      <c r="E2586" t="s">
        <v>4215</v>
      </c>
      <c r="H2586" t="str">
        <f t="shared" si="40"/>
        <v>Force server side preloading.</v>
      </c>
      <c r="I2586" t="s">
        <v>2</v>
      </c>
    </row>
    <row r="2587" spans="1:24" x14ac:dyDescent="0.25">
      <c r="A2587" t="s">
        <v>5253</v>
      </c>
      <c r="C2587" t="s">
        <v>4216</v>
      </c>
      <c r="D2587">
        <v>5</v>
      </c>
      <c r="E2587" t="s">
        <v>4217</v>
      </c>
      <c r="H2587" t="str">
        <f t="shared" si="40"/>
        <v>World friction.</v>
      </c>
      <c r="N2587" t="s">
        <v>7</v>
      </c>
      <c r="S2587" t="s">
        <v>12</v>
      </c>
      <c r="X2587" t="s">
        <v>17</v>
      </c>
    </row>
    <row r="2588" spans="1:24" x14ac:dyDescent="0.25">
      <c r="A2588" t="s">
        <v>5253</v>
      </c>
      <c r="C2588" t="s">
        <v>4218</v>
      </c>
      <c r="D2588">
        <v>0</v>
      </c>
      <c r="E2588" t="s">
        <v>4219</v>
      </c>
      <c r="H2588" t="str">
        <f t="shared" si="40"/>
        <v>Any player (including Spectator team) can speak to any other player</v>
      </c>
      <c r="S2588" t="s">
        <v>12</v>
      </c>
      <c r="X2588" t="s">
        <v>17</v>
      </c>
    </row>
    <row r="2589" spans="1:24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  <c r="H2589" t="str">
        <f t="shared" si="40"/>
        <v>Display the values of the convars for the current game_mode.</v>
      </c>
    </row>
    <row r="2590" spans="1:24" x14ac:dyDescent="0.25">
      <c r="A2590" t="s">
        <v>5251</v>
      </c>
      <c r="C2590" t="s">
        <v>4221</v>
      </c>
      <c r="D2590">
        <v>0</v>
      </c>
      <c r="E2590" t="s">
        <v>4222</v>
      </c>
      <c r="H2590" t="str">
        <f t="shared" si="40"/>
        <v>Force all clients to disable their game instructors.</v>
      </c>
      <c r="S2590" t="s">
        <v>12</v>
      </c>
      <c r="X2590" t="s">
        <v>17</v>
      </c>
    </row>
    <row r="2591" spans="1:24" x14ac:dyDescent="0.25">
      <c r="A2591" t="s">
        <v>5253</v>
      </c>
      <c r="C2591" t="s">
        <v>4223</v>
      </c>
      <c r="D2591" t="s">
        <v>25</v>
      </c>
      <c r="E2591" t="s">
        <v>4224</v>
      </c>
      <c r="H2591" t="str">
        <f t="shared" si="40"/>
        <v>Show user info of a connected client</v>
      </c>
    </row>
    <row r="2592" spans="1:24" x14ac:dyDescent="0.25">
      <c r="A2592" t="s">
        <v>5251</v>
      </c>
      <c r="C2592" t="s">
        <v>4225</v>
      </c>
      <c r="D2592">
        <v>0</v>
      </c>
      <c r="H2592">
        <f t="shared" si="40"/>
        <v>0</v>
      </c>
      <c r="S2592" t="s">
        <v>12</v>
      </c>
      <c r="X2592" t="s">
        <v>17</v>
      </c>
    </row>
    <row r="2593" spans="1:24" x14ac:dyDescent="0.25">
      <c r="A2593" t="s">
        <v>5253</v>
      </c>
      <c r="C2593" t="s">
        <v>4226</v>
      </c>
      <c r="D2593">
        <v>800</v>
      </c>
      <c r="E2593" t="s">
        <v>4227</v>
      </c>
      <c r="H2593" t="str">
        <f t="shared" si="40"/>
        <v>World gravity.</v>
      </c>
      <c r="N2593" t="s">
        <v>7</v>
      </c>
      <c r="S2593" t="s">
        <v>12</v>
      </c>
      <c r="X2593" t="s">
        <v>17</v>
      </c>
    </row>
    <row r="2594" spans="1:24" x14ac:dyDescent="0.25">
      <c r="A2594" t="s">
        <v>5252</v>
      </c>
      <c r="C2594" t="s">
        <v>4228</v>
      </c>
      <c r="D2594">
        <v>0</v>
      </c>
      <c r="E2594" t="s">
        <v>4229</v>
      </c>
      <c r="H2594" t="str">
        <f t="shared" si="40"/>
        <v>Shows grenade trajectory visualization in-game.</v>
      </c>
      <c r="L2594" t="s">
        <v>5</v>
      </c>
      <c r="S2594" t="s">
        <v>12</v>
      </c>
      <c r="X2594" t="s">
        <v>17</v>
      </c>
    </row>
    <row r="2595" spans="1:24" x14ac:dyDescent="0.25">
      <c r="A2595" t="s">
        <v>5252</v>
      </c>
      <c r="C2595" t="s">
        <v>4230</v>
      </c>
      <c r="D2595">
        <v>0</v>
      </c>
      <c r="E2595" t="s">
        <v>4231</v>
      </c>
      <c r="H2595" t="str">
        <f t="shared" si="40"/>
        <v>Dot-dash style grenade trajectory arc</v>
      </c>
      <c r="S2595" t="s">
        <v>12</v>
      </c>
      <c r="X2595" t="s">
        <v>17</v>
      </c>
    </row>
    <row r="2596" spans="1:24" x14ac:dyDescent="0.25">
      <c r="A2596" t="s">
        <v>5252</v>
      </c>
      <c r="C2596" t="s">
        <v>4232</v>
      </c>
      <c r="D2596">
        <v>0</v>
      </c>
      <c r="E2596" t="s">
        <v>4233</v>
      </c>
      <c r="H2596" t="str">
        <f t="shared" si="40"/>
        <v>Visible thickness of grenade trajectory arc</v>
      </c>
      <c r="S2596" t="s">
        <v>12</v>
      </c>
      <c r="X2596" t="s">
        <v>17</v>
      </c>
    </row>
    <row r="2597" spans="1:24" x14ac:dyDescent="0.25">
      <c r="A2597" t="s">
        <v>5252</v>
      </c>
      <c r="C2597" t="s">
        <v>4234</v>
      </c>
      <c r="D2597">
        <v>20</v>
      </c>
      <c r="E2597" t="s">
        <v>4235</v>
      </c>
      <c r="H2597" t="str">
        <f t="shared" si="40"/>
        <v>Length of time grenade trajectory remains visible.</v>
      </c>
      <c r="S2597" t="s">
        <v>12</v>
      </c>
      <c r="X2597" t="s">
        <v>17</v>
      </c>
    </row>
    <row r="2598" spans="1:24" x14ac:dyDescent="0.25">
      <c r="A2598" t="s">
        <v>5252</v>
      </c>
      <c r="C2598" t="s">
        <v>4236</v>
      </c>
      <c r="D2598">
        <v>4</v>
      </c>
      <c r="E2598" t="s">
        <v>4237</v>
      </c>
      <c r="H2598" t="str">
        <f t="shared" si="40"/>
        <v>Length of time grenade trajectory remains visible as a spectator.</v>
      </c>
      <c r="S2598" t="s">
        <v>12</v>
      </c>
      <c r="X2598" t="s">
        <v>17</v>
      </c>
    </row>
    <row r="2599" spans="1:24" x14ac:dyDescent="0.25">
      <c r="A2599" t="s">
        <v>5252</v>
      </c>
      <c r="C2599" t="s">
        <v>4238</v>
      </c>
      <c r="D2599">
        <v>0</v>
      </c>
      <c r="E2599" t="s">
        <v>4239</v>
      </c>
      <c r="H2599" t="str">
        <f t="shared" si="40"/>
        <v>Extra starting equipment for CT players in guardian modes</v>
      </c>
      <c r="K2599" t="s">
        <v>4</v>
      </c>
    </row>
    <row r="2600" spans="1:24" x14ac:dyDescent="0.25">
      <c r="A2600" t="s">
        <v>5252</v>
      </c>
      <c r="C2600" t="s">
        <v>4240</v>
      </c>
      <c r="D2600">
        <v>0</v>
      </c>
      <c r="E2600" t="s">
        <v>4241</v>
      </c>
      <c r="H2600" t="str">
        <f t="shared" si="40"/>
        <v>Extra starting equipment for Terrorist players in guardian modes</v>
      </c>
      <c r="K2600" t="s">
        <v>4</v>
      </c>
    </row>
    <row r="2601" spans="1:24" x14ac:dyDescent="0.25">
      <c r="A2601" t="s">
        <v>5252</v>
      </c>
      <c r="C2601" t="s">
        <v>4242</v>
      </c>
      <c r="D2601">
        <v>50</v>
      </c>
      <c r="E2601" t="s">
        <v>4243</v>
      </c>
      <c r="H2601" t="str">
        <f t="shared" si="40"/>
        <v>Health given to survivors per wave in guardian mode.</v>
      </c>
      <c r="K2601" t="s">
        <v>4</v>
      </c>
    </row>
    <row r="2602" spans="1:24" x14ac:dyDescent="0.25">
      <c r="A2602" t="s">
        <v>5252</v>
      </c>
      <c r="C2602" t="s">
        <v>4244</v>
      </c>
      <c r="D2602">
        <v>0</v>
      </c>
      <c r="H2602">
        <f t="shared" si="40"/>
        <v>0</v>
      </c>
      <c r="K2602" t="s">
        <v>4</v>
      </c>
    </row>
    <row r="2603" spans="1:24" x14ac:dyDescent="0.25">
      <c r="A2603" t="s">
        <v>5252</v>
      </c>
      <c r="C2603" t="s">
        <v>4245</v>
      </c>
      <c r="D2603">
        <v>0</v>
      </c>
      <c r="H2603">
        <f t="shared" si="40"/>
        <v>0</v>
      </c>
      <c r="K2603" t="s">
        <v>4</v>
      </c>
    </row>
    <row r="2604" spans="1:24" x14ac:dyDescent="0.25">
      <c r="A2604" t="s">
        <v>5252</v>
      </c>
      <c r="C2604" t="s">
        <v>4246</v>
      </c>
      <c r="D2604">
        <v>0</v>
      </c>
      <c r="H2604">
        <f t="shared" si="40"/>
        <v>0</v>
      </c>
      <c r="K2604" t="s">
        <v>4</v>
      </c>
    </row>
    <row r="2605" spans="1:24" x14ac:dyDescent="0.25">
      <c r="A2605" t="s">
        <v>5252</v>
      </c>
      <c r="C2605" t="s">
        <v>4247</v>
      </c>
      <c r="D2605">
        <v>0</v>
      </c>
      <c r="H2605">
        <f t="shared" si="40"/>
        <v>0</v>
      </c>
      <c r="K2605" t="s">
        <v>4</v>
      </c>
    </row>
    <row r="2606" spans="1:24" x14ac:dyDescent="0.25">
      <c r="A2606" t="s">
        <v>5252</v>
      </c>
      <c r="C2606" t="s">
        <v>4248</v>
      </c>
      <c r="D2606">
        <v>0</v>
      </c>
      <c r="E2606" t="s">
        <v>4249</v>
      </c>
      <c r="H2606" t="str">
        <f t="shared" si="40"/>
        <v>List of additional weapons to refill ammo on waves.</v>
      </c>
      <c r="K2606" t="s">
        <v>4</v>
      </c>
    </row>
    <row r="2607" spans="1:24" x14ac:dyDescent="0.25">
      <c r="A2607" t="s">
        <v>5252</v>
      </c>
      <c r="C2607" t="s">
        <v>4250</v>
      </c>
      <c r="D2607">
        <v>0</v>
      </c>
      <c r="H2607">
        <f t="shared" si="40"/>
        <v>0</v>
      </c>
      <c r="K2607" t="s">
        <v>4</v>
      </c>
    </row>
    <row r="2608" spans="1:24" x14ac:dyDescent="0.25">
      <c r="A2608" t="s">
        <v>5252</v>
      </c>
      <c r="C2608" t="s">
        <v>4251</v>
      </c>
      <c r="D2608">
        <v>50</v>
      </c>
      <c r="E2608" t="s">
        <v>4252</v>
      </c>
      <c r="H2608" t="str">
        <f t="shared" si="40"/>
        <v>Starting health of guardian players when respawned.</v>
      </c>
      <c r="K2608" t="s">
        <v>4</v>
      </c>
    </row>
    <row r="2609" spans="1:24" x14ac:dyDescent="0.25">
      <c r="A2609" t="s">
        <v>5252</v>
      </c>
      <c r="C2609" t="s">
        <v>4253</v>
      </c>
      <c r="D2609">
        <v>100</v>
      </c>
      <c r="E2609" t="s">
        <v>4254</v>
      </c>
      <c r="H2609" t="str">
        <f t="shared" si="40"/>
        <v>Starting health in guardian modes.</v>
      </c>
      <c r="K2609" t="s">
        <v>4</v>
      </c>
    </row>
    <row r="2610" spans="1:24" x14ac:dyDescent="0.25">
      <c r="A2610" t="s">
        <v>5252</v>
      </c>
      <c r="C2610" t="s">
        <v>4255</v>
      </c>
      <c r="D2610">
        <v>100</v>
      </c>
      <c r="E2610" t="s">
        <v>4254</v>
      </c>
      <c r="H2610" t="str">
        <f t="shared" si="40"/>
        <v>Starting health in guardian modes.</v>
      </c>
      <c r="K2610" t="s">
        <v>4</v>
      </c>
    </row>
    <row r="2611" spans="1:24" x14ac:dyDescent="0.25">
      <c r="A2611" t="s">
        <v>5252</v>
      </c>
      <c r="C2611" t="s">
        <v>4256</v>
      </c>
      <c r="D2611">
        <v>0</v>
      </c>
      <c r="E2611" t="s">
        <v>4257</v>
      </c>
      <c r="H2611" t="str">
        <f t="shared" si="40"/>
        <v>Extra starting equipment for human players in guardian modes</v>
      </c>
      <c r="K2611" t="s">
        <v>4</v>
      </c>
    </row>
    <row r="2612" spans="1:24" x14ac:dyDescent="0.25">
      <c r="A2612" t="s">
        <v>5251</v>
      </c>
      <c r="C2612" t="s">
        <v>4258</v>
      </c>
      <c r="D2612">
        <v>0</v>
      </c>
      <c r="H2612">
        <f t="shared" si="40"/>
        <v>0</v>
      </c>
      <c r="K2612" t="s">
        <v>4</v>
      </c>
      <c r="S2612" t="s">
        <v>12</v>
      </c>
    </row>
    <row r="2613" spans="1:24" x14ac:dyDescent="0.25">
      <c r="A2613" t="s">
        <v>5251</v>
      </c>
      <c r="C2613" t="s">
        <v>4259</v>
      </c>
      <c r="D2613">
        <v>10</v>
      </c>
      <c r="H2613">
        <f t="shared" si="40"/>
        <v>0</v>
      </c>
      <c r="K2613" t="s">
        <v>4</v>
      </c>
      <c r="S2613" t="s">
        <v>12</v>
      </c>
    </row>
    <row r="2614" spans="1:24" x14ac:dyDescent="0.25">
      <c r="A2614" t="s">
        <v>5251</v>
      </c>
      <c r="C2614" t="s">
        <v>4260</v>
      </c>
      <c r="D2614">
        <v>1</v>
      </c>
      <c r="H2614">
        <f t="shared" si="40"/>
        <v>0</v>
      </c>
      <c r="K2614" t="s">
        <v>4</v>
      </c>
      <c r="S2614" t="s">
        <v>12</v>
      </c>
    </row>
    <row r="2615" spans="1:24" x14ac:dyDescent="0.25">
      <c r="A2615" t="s">
        <v>5251</v>
      </c>
      <c r="C2615" t="s">
        <v>4261</v>
      </c>
      <c r="D2615">
        <v>1</v>
      </c>
      <c r="H2615">
        <f t="shared" si="40"/>
        <v>0</v>
      </c>
      <c r="K2615" t="s">
        <v>4</v>
      </c>
      <c r="S2615" t="s">
        <v>12</v>
      </c>
    </row>
    <row r="2616" spans="1:24" x14ac:dyDescent="0.25">
      <c r="A2616" t="s">
        <v>5251</v>
      </c>
      <c r="C2616" t="s">
        <v>4262</v>
      </c>
      <c r="D2616">
        <v>20</v>
      </c>
      <c r="E2616" t="s">
        <v>4263</v>
      </c>
      <c r="H2616" t="str">
        <f t="shared" si="40"/>
        <v># of milliseconds to sleep per frame while hibernating</v>
      </c>
    </row>
    <row r="2617" spans="1:24" x14ac:dyDescent="0.25">
      <c r="A2617" t="s">
        <v>5251</v>
      </c>
      <c r="C2617" t="s">
        <v>4264</v>
      </c>
      <c r="D2617">
        <v>20</v>
      </c>
      <c r="E2617" t="s">
        <v>4265</v>
      </c>
      <c r="H2617" t="str">
        <f t="shared" si="40"/>
        <v># of milliseconds to sleep per frame while hibernating but running the vgui dedicated server frontend</v>
      </c>
    </row>
    <row r="2618" spans="1:24" x14ac:dyDescent="0.25">
      <c r="A2618" t="s">
        <v>5251</v>
      </c>
      <c r="C2618" t="s">
        <v>4266</v>
      </c>
      <c r="D2618">
        <v>5</v>
      </c>
      <c r="E2618" t="s">
        <v>4267</v>
      </c>
      <c r="H2618" t="str">
        <f t="shared" si="40"/>
        <v># of seconds to wait after final client leaves before hibernating.</v>
      </c>
    </row>
    <row r="2619" spans="1:24" x14ac:dyDescent="0.25">
      <c r="A2619" t="s">
        <v>5251</v>
      </c>
      <c r="C2619" t="s">
        <v>4268</v>
      </c>
      <c r="D2619">
        <v>0</v>
      </c>
      <c r="E2619" t="s">
        <v>4269</v>
      </c>
      <c r="H2619" t="str">
        <f t="shared" si="40"/>
        <v>When enabled will punt all GOTV clients during hibernation</v>
      </c>
    </row>
    <row r="2620" spans="1:24" x14ac:dyDescent="0.25">
      <c r="A2620" t="s">
        <v>5251</v>
      </c>
      <c r="C2620" t="s">
        <v>4270</v>
      </c>
      <c r="D2620">
        <v>1</v>
      </c>
      <c r="E2620" t="s">
        <v>4271</v>
      </c>
      <c r="H2620" t="str">
        <f t="shared" si="40"/>
        <v>Puts the server into extremely low CPU usage mode when no clients connected</v>
      </c>
    </row>
    <row r="2621" spans="1:24" x14ac:dyDescent="0.25">
      <c r="A2621" t="s">
        <v>5251</v>
      </c>
      <c r="C2621" t="s">
        <v>4272</v>
      </c>
      <c r="D2621">
        <v>500</v>
      </c>
      <c r="H2621">
        <f t="shared" si="40"/>
        <v>0</v>
      </c>
      <c r="S2621" t="s">
        <v>12</v>
      </c>
      <c r="X2621" t="s">
        <v>17</v>
      </c>
    </row>
    <row r="2622" spans="1:24" x14ac:dyDescent="0.25">
      <c r="A2622" t="s">
        <v>5251</v>
      </c>
      <c r="C2622" t="s">
        <v>4273</v>
      </c>
      <c r="D2622">
        <v>3</v>
      </c>
      <c r="H2622">
        <f t="shared" si="40"/>
        <v>0</v>
      </c>
      <c r="S2622" t="s">
        <v>12</v>
      </c>
      <c r="X2622" t="s">
        <v>17</v>
      </c>
    </row>
    <row r="2623" spans="1:24" x14ac:dyDescent="0.25">
      <c r="A2623" t="s">
        <v>5253</v>
      </c>
      <c r="C2623" t="s">
        <v>4274</v>
      </c>
      <c r="D2623">
        <v>0</v>
      </c>
      <c r="E2623" t="s">
        <v>4275</v>
      </c>
      <c r="H2623" t="str">
        <f t="shared" si="40"/>
        <v>0 = OFF, 1 = Halloween, 2 = Winter</v>
      </c>
      <c r="S2623" t="s">
        <v>12</v>
      </c>
      <c r="X2623" t="s">
        <v>17</v>
      </c>
    </row>
    <row r="2624" spans="1:24" x14ac:dyDescent="0.25">
      <c r="A2624" t="s">
        <v>5253</v>
      </c>
      <c r="C2624" t="s">
        <v>4276</v>
      </c>
      <c r="D2624">
        <v>0</v>
      </c>
      <c r="E2624" t="s">
        <v>4277</v>
      </c>
      <c r="H2624" t="str">
        <f t="shared" si="40"/>
        <v>Turn off Fire in the hole messages</v>
      </c>
      <c r="K2624" t="s">
        <v>4</v>
      </c>
    </row>
    <row r="2625" spans="1:24" x14ac:dyDescent="0.25">
      <c r="A2625" t="s">
        <v>5253</v>
      </c>
      <c r="C2625" t="s">
        <v>4278</v>
      </c>
      <c r="D2625">
        <v>0</v>
      </c>
      <c r="E2625" t="s">
        <v>4279</v>
      </c>
      <c r="H2625" t="str">
        <f t="shared" si="40"/>
        <v xml:space="preserve">Player's active weapon will never run out of ammo. If set to 2 then player has infinite total ammo but still has to reload the </v>
      </c>
      <c r="S2625" t="s">
        <v>12</v>
      </c>
      <c r="X2625" t="s">
        <v>17</v>
      </c>
    </row>
    <row r="2626" spans="1:24" x14ac:dyDescent="0.25">
      <c r="A2626" t="s">
        <v>5253</v>
      </c>
      <c r="C2626" t="s">
        <v>4280</v>
      </c>
      <c r="D2626">
        <v>0</v>
      </c>
      <c r="E2626" t="s">
        <v>655</v>
      </c>
      <c r="H2626" t="str">
        <f t="shared" si="40"/>
        <v>If turned on, will ignore all invites when user is playing a match</v>
      </c>
      <c r="S2626" t="s">
        <v>12</v>
      </c>
      <c r="X2626" t="s">
        <v>17</v>
      </c>
    </row>
    <row r="2627" spans="1:24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H2627" t="str">
        <f t="shared" ref="H2627:H2690" si="41">IF(F2627="",E2627, F2627 &amp; " - Original Helptext: " &amp;E2627)</f>
        <v>Initial upward velocity for player jumps; sqrt(2*gravity*height).</v>
      </c>
      <c r="S2627" t="s">
        <v>12</v>
      </c>
      <c r="X2627" t="s">
        <v>17</v>
      </c>
    </row>
    <row r="2628" spans="1:24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H2628" t="str">
        <f t="shared" si="41"/>
        <v>ExoJump impulse multiplier</v>
      </c>
      <c r="S2628" t="s">
        <v>12</v>
      </c>
      <c r="X2628" t="s">
        <v>17</v>
      </c>
    </row>
    <row r="2629" spans="1:24" x14ac:dyDescent="0.25">
      <c r="A2629" t="s">
        <v>5253</v>
      </c>
      <c r="C2629" t="s">
        <v>4285</v>
      </c>
      <c r="D2629">
        <v>15</v>
      </c>
      <c r="E2629" t="s">
        <v>4286</v>
      </c>
      <c r="H2629" t="str">
        <f t="shared" si="41"/>
        <v>How long should a kick ban from the server should last (in minutes)</v>
      </c>
      <c r="N2629" t="s">
        <v>7</v>
      </c>
      <c r="S2629" t="s">
        <v>12</v>
      </c>
      <c r="X2629" t="s">
        <v>17</v>
      </c>
    </row>
    <row r="2630" spans="1:24" x14ac:dyDescent="0.25">
      <c r="A2630" t="s">
        <v>5253</v>
      </c>
      <c r="C2630" t="s">
        <v>4287</v>
      </c>
      <c r="D2630">
        <v>1</v>
      </c>
      <c r="E2630" t="s">
        <v>4288</v>
      </c>
      <c r="H2630" t="str">
        <f t="shared" si="41"/>
        <v xml:space="preserve">(0: do not kick on insecure servers; 1: kick players with Untrusted status or convicted by Overwatch; 2: kick players with any </v>
      </c>
      <c r="K2630" t="s">
        <v>4</v>
      </c>
      <c r="S2630" t="s">
        <v>12</v>
      </c>
    </row>
    <row r="2631" spans="1:24" x14ac:dyDescent="0.25">
      <c r="A2631" t="s">
        <v>5251</v>
      </c>
      <c r="C2631" t="s">
        <v>4289</v>
      </c>
      <c r="D2631">
        <v>0</v>
      </c>
      <c r="H2631">
        <f t="shared" si="41"/>
        <v>0</v>
      </c>
      <c r="S2631" t="s">
        <v>12</v>
      </c>
      <c r="X2631" t="s">
        <v>17</v>
      </c>
    </row>
    <row r="2632" spans="1:24" x14ac:dyDescent="0.25">
      <c r="A2632" t="s">
        <v>5253</v>
      </c>
      <c r="C2632" t="s">
        <v>4290</v>
      </c>
      <c r="D2632">
        <v>0</v>
      </c>
      <c r="E2632" t="s">
        <v>4291</v>
      </c>
      <c r="H2632" t="str">
        <f t="shared" si="41"/>
        <v>Scale top speed on ladders</v>
      </c>
      <c r="S2632" t="s">
        <v>12</v>
      </c>
      <c r="X2632" t="s">
        <v>17</v>
      </c>
    </row>
    <row r="2633" spans="1:24" x14ac:dyDescent="0.25">
      <c r="A2633" t="s">
        <v>5251</v>
      </c>
      <c r="C2633" t="s">
        <v>4292</v>
      </c>
      <c r="D2633">
        <v>0</v>
      </c>
      <c r="E2633" t="s">
        <v>4293</v>
      </c>
      <c r="H2633" t="str">
        <f t="shared" si="41"/>
        <v>Player can lag compensate themselves.</v>
      </c>
      <c r="K2633" t="s">
        <v>4</v>
      </c>
      <c r="L2633" t="s">
        <v>5</v>
      </c>
    </row>
    <row r="2634" spans="1:24" x14ac:dyDescent="0.25">
      <c r="A2634" t="s">
        <v>5251</v>
      </c>
      <c r="C2634" t="s">
        <v>4294</v>
      </c>
      <c r="D2634">
        <v>1</v>
      </c>
      <c r="E2634" t="s">
        <v>4295</v>
      </c>
      <c r="H2634" t="str">
        <f t="shared" si="41"/>
        <v>Don't test validity of a lag comp restore, just do it.</v>
      </c>
      <c r="K2634" t="s">
        <v>4</v>
      </c>
      <c r="L2634" t="s">
        <v>5</v>
      </c>
    </row>
    <row r="2635" spans="1:24" x14ac:dyDescent="0.25">
      <c r="A2635" t="s">
        <v>5253</v>
      </c>
      <c r="C2635" t="s">
        <v>4296</v>
      </c>
      <c r="D2635">
        <v>0</v>
      </c>
      <c r="E2635" t="s">
        <v>4297</v>
      </c>
      <c r="H2635" t="str">
        <f t="shared" si="41"/>
        <v>Server is a lan server ( no heartbeat, no authentication, no non-class C addresses )</v>
      </c>
    </row>
    <row r="2636" spans="1:24" x14ac:dyDescent="0.25">
      <c r="A2636" t="s">
        <v>5251</v>
      </c>
      <c r="C2636" t="s">
        <v>4298</v>
      </c>
      <c r="D2636">
        <v>1</v>
      </c>
      <c r="E2636" t="s">
        <v>4299</v>
      </c>
      <c r="H2636" t="str">
        <f t="shared" si="41"/>
        <v xml:space="preserve">1=Only improves success of jump+ducks to windows or vents (jump+duck to duck), 2=Improves success of all jump+ducks to ledges, </v>
      </c>
      <c r="S2636" t="s">
        <v>12</v>
      </c>
      <c r="X2636" t="s">
        <v>17</v>
      </c>
    </row>
    <row r="2637" spans="1:24" x14ac:dyDescent="0.25">
      <c r="A2637" t="s">
        <v>5251</v>
      </c>
      <c r="C2637" t="s">
        <v>4300</v>
      </c>
      <c r="D2637">
        <v>0</v>
      </c>
      <c r="E2637" t="s">
        <v>4301</v>
      </c>
      <c r="H2637" t="str">
        <f t="shared" si="41"/>
        <v>1=only does the feature if running in game mode Danger Zone, 0=Doesn't check game mode to run</v>
      </c>
      <c r="S2637" t="s">
        <v>12</v>
      </c>
      <c r="X2637" t="s">
        <v>17</v>
      </c>
    </row>
    <row r="2638" spans="1:24" x14ac:dyDescent="0.25">
      <c r="A2638" t="s">
        <v>5251</v>
      </c>
      <c r="C2638" t="s">
        <v>4302</v>
      </c>
      <c r="D2638" t="s">
        <v>25</v>
      </c>
      <c r="E2638" t="s">
        <v>4303</v>
      </c>
      <c r="H2638" t="str">
        <f t="shared" si="41"/>
        <v>Loads a file containing SteamID64 names for clients</v>
      </c>
    </row>
    <row r="2639" spans="1:24" x14ac:dyDescent="0.25">
      <c r="A2639" t="s">
        <v>5251</v>
      </c>
      <c r="C2639" t="s">
        <v>4304</v>
      </c>
      <c r="D2639" t="s">
        <v>25</v>
      </c>
      <c r="E2639" t="s">
        <v>4305</v>
      </c>
      <c r="H2639" t="str">
        <f t="shared" si="41"/>
        <v>Loads a file containing random name words for clients</v>
      </c>
    </row>
    <row r="2640" spans="1:24" x14ac:dyDescent="0.25">
      <c r="A2640" t="s">
        <v>5251</v>
      </c>
      <c r="C2640" t="s">
        <v>4306</v>
      </c>
      <c r="D2640">
        <v>0</v>
      </c>
      <c r="H2640">
        <f t="shared" si="41"/>
        <v>0</v>
      </c>
      <c r="K2640" t="s">
        <v>4</v>
      </c>
    </row>
    <row r="2641" spans="1:24" x14ac:dyDescent="0.25">
      <c r="A2641" t="s">
        <v>5253</v>
      </c>
      <c r="C2641" t="s">
        <v>4307</v>
      </c>
      <c r="D2641">
        <v>0</v>
      </c>
      <c r="E2641" t="s">
        <v>4308</v>
      </c>
      <c r="H2641" t="str">
        <f t="shared" si="41"/>
        <v>Log server information to only one file.</v>
      </c>
      <c r="I2641" t="s">
        <v>2</v>
      </c>
    </row>
    <row r="2642" spans="1:24" x14ac:dyDescent="0.25">
      <c r="A2642" t="s">
        <v>5253</v>
      </c>
      <c r="C2642" t="s">
        <v>4309</v>
      </c>
      <c r="D2642">
        <v>0</v>
      </c>
      <c r="E2642" t="s">
        <v>4310</v>
      </c>
      <c r="H2642" t="str">
        <f t="shared" si="41"/>
        <v>Log server bans in the server logs.</v>
      </c>
      <c r="I2642" t="s">
        <v>2</v>
      </c>
    </row>
    <row r="2643" spans="1:24" x14ac:dyDescent="0.25">
      <c r="A2643" t="s">
        <v>5253</v>
      </c>
      <c r="C2643" t="s">
        <v>4311</v>
      </c>
      <c r="D2643">
        <v>0</v>
      </c>
      <c r="E2643" t="s">
        <v>4312</v>
      </c>
      <c r="H2643" t="str">
        <f t="shared" si="41"/>
        <v>If true when log when a query is blocked (can cause very large log files)</v>
      </c>
    </row>
    <row r="2644" spans="1:24" x14ac:dyDescent="0.25">
      <c r="A2644" t="s">
        <v>5253</v>
      </c>
      <c r="C2644" t="s">
        <v>4313</v>
      </c>
      <c r="D2644">
        <v>1</v>
      </c>
      <c r="E2644" t="s">
        <v>4314</v>
      </c>
      <c r="H2644" t="str">
        <f t="shared" si="41"/>
        <v>Echo log information to the console.</v>
      </c>
      <c r="I2644" t="s">
        <v>2</v>
      </c>
    </row>
    <row r="2645" spans="1:24" x14ac:dyDescent="0.25">
      <c r="A2645" t="s">
        <v>5253</v>
      </c>
      <c r="C2645" t="s">
        <v>4315</v>
      </c>
      <c r="D2645">
        <v>1</v>
      </c>
      <c r="E2645" t="s">
        <v>4316</v>
      </c>
      <c r="H2645" t="str">
        <f t="shared" si="41"/>
        <v>Log server information in the log file.</v>
      </c>
      <c r="I2645" t="s">
        <v>2</v>
      </c>
    </row>
    <row r="2646" spans="1:24" x14ac:dyDescent="0.25">
      <c r="A2646" t="s">
        <v>5253</v>
      </c>
      <c r="C2646" t="s">
        <v>4317</v>
      </c>
      <c r="D2646">
        <v>0</v>
      </c>
      <c r="E2646" t="s">
        <v>4318</v>
      </c>
      <c r="H2646" t="str">
        <f t="shared" si="41"/>
        <v>Flush the log file to disk on each write (slow).</v>
      </c>
      <c r="I2646" t="s">
        <v>2</v>
      </c>
    </row>
    <row r="2647" spans="1:24" x14ac:dyDescent="0.25">
      <c r="A2647" t="s">
        <v>5253</v>
      </c>
      <c r="C2647" t="s">
        <v>4319</v>
      </c>
      <c r="D2647">
        <v>0</v>
      </c>
      <c r="E2647" t="s">
        <v>4320</v>
      </c>
      <c r="H2647" t="str">
        <f t="shared" si="41"/>
        <v>Folder in the game directory where server logs will be stored.</v>
      </c>
      <c r="I2647" t="s">
        <v>2</v>
      </c>
    </row>
    <row r="2648" spans="1:24" x14ac:dyDescent="0.25">
      <c r="A2648" t="s">
        <v>5253</v>
      </c>
      <c r="C2648" t="s">
        <v>4321</v>
      </c>
      <c r="D2648">
        <v>0</v>
      </c>
      <c r="E2648" t="s">
        <v>4322</v>
      </c>
      <c r="H2648" t="str">
        <f t="shared" si="41"/>
        <v>If set then include this secret when doing UDP logging (will use 0x53 as packet type, not usual 0x52)</v>
      </c>
    </row>
    <row r="2649" spans="1:24" x14ac:dyDescent="0.25">
      <c r="A2649" t="s">
        <v>5253</v>
      </c>
      <c r="C2649" t="s">
        <v>4323</v>
      </c>
      <c r="D2649">
        <v>1</v>
      </c>
      <c r="E2649" t="s">
        <v>4324</v>
      </c>
      <c r="H2649" t="str">
        <f t="shared" si="41"/>
        <v>Uses a specific outgoing socket for sv udp logging</v>
      </c>
    </row>
    <row r="2650" spans="1:24" x14ac:dyDescent="0.25">
      <c r="A2650" t="s">
        <v>5253</v>
      </c>
      <c r="C2650" t="s">
        <v>4325</v>
      </c>
      <c r="D2650">
        <v>1</v>
      </c>
      <c r="E2650" t="s">
        <v>4326</v>
      </c>
      <c r="H2650" t="str">
        <f t="shared" si="41"/>
        <v>Uses a specific outgoing socket for second source of sv udp logging</v>
      </c>
    </row>
    <row r="2651" spans="1:24" x14ac:dyDescent="0.25">
      <c r="A2651" t="s">
        <v>5253</v>
      </c>
      <c r="C2651" t="s">
        <v>4327</v>
      </c>
      <c r="D2651">
        <v>0</v>
      </c>
      <c r="E2651" t="s">
        <v>4328</v>
      </c>
      <c r="H2651" t="str">
        <f t="shared" si="41"/>
        <v>Uses a substring match for second source of sv udp logging</v>
      </c>
    </row>
    <row r="2652" spans="1:24" x14ac:dyDescent="0.25">
      <c r="A2652" t="s">
        <v>5252</v>
      </c>
      <c r="C2652" t="s">
        <v>4329</v>
      </c>
      <c r="D2652">
        <v>0</v>
      </c>
      <c r="E2652" t="s">
        <v>4330</v>
      </c>
      <c r="H2652" t="str">
        <f t="shared" si="41"/>
        <v>Which maps are used for map veto pick sequence</v>
      </c>
      <c r="K2652" t="s">
        <v>4</v>
      </c>
    </row>
    <row r="2653" spans="1:24" x14ac:dyDescent="0.25">
      <c r="A2653" t="s">
        <v>5252</v>
      </c>
      <c r="C2653" t="s">
        <v>4331</v>
      </c>
      <c r="D2653">
        <v>0</v>
      </c>
      <c r="E2653" t="s">
        <v>4332</v>
      </c>
      <c r="H2653" t="str">
        <f t="shared" si="41"/>
        <v>How many seconds each phase lasts</v>
      </c>
      <c r="K2653" t="s">
        <v>4</v>
      </c>
    </row>
    <row r="2654" spans="1:24" x14ac:dyDescent="0.25">
      <c r="A2654" t="s">
        <v>5252</v>
      </c>
      <c r="C2654" t="s">
        <v>4333</v>
      </c>
      <c r="D2654">
        <v>1</v>
      </c>
      <c r="E2654" t="s">
        <v>4334</v>
      </c>
      <c r="H2654" t="str">
        <f t="shared" si="41"/>
        <v>Rewards gameplay time is always accumulated for players, but drops at the end of the match can be prevented</v>
      </c>
      <c r="K2654" t="s">
        <v>4</v>
      </c>
    </row>
    <row r="2655" spans="1:24" x14ac:dyDescent="0.25">
      <c r="A2655" t="s">
        <v>5252</v>
      </c>
      <c r="C2655" t="s">
        <v>4335</v>
      </c>
      <c r="D2655">
        <v>0</v>
      </c>
      <c r="E2655" t="s">
        <v>4336</v>
      </c>
      <c r="H2655" t="str">
        <f t="shared" si="41"/>
        <v>When enabled will automatically pause the match at next freeze time if less than 5 players are connected on each team.</v>
      </c>
      <c r="S2655" t="s">
        <v>12</v>
      </c>
      <c r="X2655" t="s">
        <v>17</v>
      </c>
    </row>
    <row r="2656" spans="1:24" x14ac:dyDescent="0.25">
      <c r="A2656" t="s">
        <v>5251</v>
      </c>
      <c r="C2656" t="s">
        <v>4337</v>
      </c>
      <c r="D2656">
        <v>1</v>
      </c>
      <c r="E2656" t="s">
        <v>4338</v>
      </c>
      <c r="H2656" t="str">
        <f t="shared" si="41"/>
        <v>Determines max allowed net_graph value for clients.</v>
      </c>
      <c r="N2656" t="s">
        <v>7</v>
      </c>
      <c r="S2656" t="s">
        <v>12</v>
      </c>
      <c r="X2656" t="s">
        <v>17</v>
      </c>
    </row>
    <row r="2657" spans="1:24" x14ac:dyDescent="0.25">
      <c r="A2657" t="s">
        <v>5251</v>
      </c>
      <c r="C2657" t="s">
        <v>4339</v>
      </c>
      <c r="D2657">
        <v>10</v>
      </c>
      <c r="E2657" t="s">
        <v>4340</v>
      </c>
      <c r="H2657" t="str">
        <f t="shared" si="41"/>
        <v>Max dropped packets to process. Lower settings prevent lagged players from simulating too far in the past. Setting of 0 disable</v>
      </c>
    </row>
    <row r="2658" spans="1:24" x14ac:dyDescent="0.25">
      <c r="A2658" t="s">
        <v>5251</v>
      </c>
      <c r="C2658" t="s">
        <v>4341</v>
      </c>
      <c r="D2658">
        <v>10</v>
      </c>
      <c r="E2658" t="s">
        <v>4342</v>
      </c>
      <c r="H2658" t="str">
        <f t="shared" si="41"/>
        <v>Maximum queries per second to respond to from a single IP address.</v>
      </c>
    </row>
    <row r="2659" spans="1:24" x14ac:dyDescent="0.25">
      <c r="A2659" t="s">
        <v>5251</v>
      </c>
      <c r="C2659" t="s">
        <v>4343</v>
      </c>
      <c r="D2659">
        <v>500</v>
      </c>
      <c r="E2659" t="s">
        <v>4344</v>
      </c>
      <c r="H2659" t="str">
        <f t="shared" si="41"/>
        <v>Maximum queries per second to respond to from anywhere.</v>
      </c>
    </row>
    <row r="2660" spans="1:24" x14ac:dyDescent="0.25">
      <c r="A2660" t="s">
        <v>5251</v>
      </c>
      <c r="C2660" t="s">
        <v>4345</v>
      </c>
      <c r="D2660">
        <v>50000</v>
      </c>
      <c r="E2660" t="s">
        <v>4346</v>
      </c>
      <c r="H2660" t="str">
        <f t="shared" si="41"/>
        <v>Window over which to average queries per second averages.</v>
      </c>
    </row>
    <row r="2661" spans="1:24" x14ac:dyDescent="0.25">
      <c r="A2661" t="s">
        <v>5251</v>
      </c>
      <c r="C2661" t="s">
        <v>4347</v>
      </c>
      <c r="D2661">
        <v>10</v>
      </c>
      <c r="E2661" t="s">
        <v>4346</v>
      </c>
      <c r="H2661" t="str">
        <f t="shared" si="41"/>
        <v>Window over which to average queries per second averages.</v>
      </c>
    </row>
    <row r="2662" spans="1:24" x14ac:dyDescent="0.25">
      <c r="A2662" t="s">
        <v>5251</v>
      </c>
      <c r="C2662" t="s">
        <v>4348</v>
      </c>
      <c r="D2662">
        <v>30</v>
      </c>
      <c r="E2662" t="s">
        <v>4346</v>
      </c>
      <c r="H2662" t="str">
        <f t="shared" si="41"/>
        <v>Window over which to average queries per second averages.</v>
      </c>
    </row>
    <row r="2663" spans="1:24" x14ac:dyDescent="0.25">
      <c r="A2663" t="s">
        <v>5251</v>
      </c>
      <c r="C2663" t="s">
        <v>4349</v>
      </c>
      <c r="D2663">
        <v>0</v>
      </c>
      <c r="E2663" t="s">
        <v>4350</v>
      </c>
      <c r="H2663" t="str">
        <f t="shared" si="41"/>
        <v>Max bandwidth rate allowed on server, 0 == unlimited</v>
      </c>
      <c r="S2663" t="s">
        <v>12</v>
      </c>
    </row>
    <row r="2664" spans="1:24" x14ac:dyDescent="0.25">
      <c r="A2664" t="s">
        <v>5253</v>
      </c>
      <c r="C2664" t="s">
        <v>4351</v>
      </c>
      <c r="D2664">
        <v>320</v>
      </c>
      <c r="H2664">
        <f t="shared" si="41"/>
        <v>0</v>
      </c>
      <c r="N2664" t="s">
        <v>7</v>
      </c>
      <c r="S2664" t="s">
        <v>12</v>
      </c>
      <c r="X2664" t="s">
        <v>17</v>
      </c>
    </row>
    <row r="2665" spans="1:24" x14ac:dyDescent="0.25">
      <c r="A2665" t="s">
        <v>5251</v>
      </c>
      <c r="C2665" t="s">
        <v>4352</v>
      </c>
      <c r="D2665">
        <v>0</v>
      </c>
      <c r="E2665" t="s">
        <v>4353</v>
      </c>
      <c r="H2665" t="str">
        <f t="shared" si="41"/>
        <v>Maximum lag compensation in seconds</v>
      </c>
      <c r="K2665" t="s">
        <v>4</v>
      </c>
    </row>
    <row r="2666" spans="1:24" x14ac:dyDescent="0.25">
      <c r="A2666" t="s">
        <v>5251</v>
      </c>
      <c r="C2666" t="s">
        <v>4354</v>
      </c>
      <c r="D2666">
        <v>128</v>
      </c>
      <c r="E2666" t="s">
        <v>4355</v>
      </c>
      <c r="H2666" t="str">
        <f t="shared" si="41"/>
        <v>Maximum updates per second that the server will allow</v>
      </c>
      <c r="S2666" t="s">
        <v>12</v>
      </c>
    </row>
    <row r="2667" spans="1:24" x14ac:dyDescent="0.25">
      <c r="A2667" t="s">
        <v>5251</v>
      </c>
      <c r="C2667" t="s">
        <v>4356</v>
      </c>
      <c r="D2667">
        <v>0</v>
      </c>
      <c r="E2667" t="s">
        <v>4357</v>
      </c>
      <c r="H2667" t="str">
        <f t="shared" si="41"/>
        <v>If set, whenever a game ends, if the server uptime exceeds this number of hours, the server will exit.</v>
      </c>
    </row>
    <row r="2668" spans="1:24" x14ac:dyDescent="0.25">
      <c r="A2668" t="s">
        <v>5251</v>
      </c>
      <c r="C2668" t="s">
        <v>4358</v>
      </c>
      <c r="D2668">
        <v>16</v>
      </c>
      <c r="E2668" t="s">
        <v>4359</v>
      </c>
      <c r="H2668" t="str">
        <f t="shared" si="41"/>
        <v>Maximum number of client-issued usrcmd ticks that can be replayed in packet loss conditions, 0 to allow no restrictions</v>
      </c>
      <c r="K2668" t="s">
        <v>4</v>
      </c>
    </row>
    <row r="2669" spans="1:24" x14ac:dyDescent="0.25">
      <c r="A2669" t="s">
        <v>5251</v>
      </c>
      <c r="C2669" t="s">
        <v>4360</v>
      </c>
      <c r="D2669">
        <v>1</v>
      </c>
      <c r="E2669" t="s">
        <v>4361</v>
      </c>
      <c r="H2669" t="str">
        <f t="shared" si="41"/>
        <v xml:space="preserve">Hold client aim for multiple server sim ticks when client-issued usrcmd contains multiple actions (0: off; 1: hold this server </v>
      </c>
      <c r="K2669" t="s">
        <v>4</v>
      </c>
    </row>
    <row r="2670" spans="1:24" x14ac:dyDescent="0.25">
      <c r="A2670" t="s">
        <v>5251</v>
      </c>
      <c r="C2670" t="s">
        <v>4362</v>
      </c>
      <c r="D2670">
        <v>-1</v>
      </c>
      <c r="E2670" t="s">
        <v>4363</v>
      </c>
      <c r="H2670" t="str">
        <f t="shared" si="41"/>
        <v>Print a warning when user commands get dropped due to insufficient usrcmd ticks allocated, number of seconds to throttle, negat</v>
      </c>
      <c r="K2670" t="s">
        <v>4</v>
      </c>
    </row>
    <row r="2671" spans="1:24" x14ac:dyDescent="0.25">
      <c r="A2671" t="s">
        <v>5251</v>
      </c>
      <c r="C2671" t="s">
        <v>4364</v>
      </c>
      <c r="D2671">
        <v>3500</v>
      </c>
      <c r="E2671" t="s">
        <v>4365</v>
      </c>
      <c r="H2671" t="str">
        <f t="shared" si="41"/>
        <v>Maximum speed any ballistically moving object is allowed to attain per axis.</v>
      </c>
      <c r="S2671" t="s">
        <v>12</v>
      </c>
      <c r="X2671" t="s">
        <v>17</v>
      </c>
    </row>
    <row r="2672" spans="1:24" x14ac:dyDescent="0.25">
      <c r="A2672" t="s">
        <v>5251</v>
      </c>
      <c r="C2672" t="s">
        <v>4366</v>
      </c>
      <c r="D2672">
        <v>0</v>
      </c>
      <c r="E2672" t="s">
        <v>4367</v>
      </c>
      <c r="H2672" t="str">
        <f t="shared" si="41"/>
        <v>If set, whenever a game ends, if the total memory used by the server is greater than this # of megabytes, the server will exit.</v>
      </c>
    </row>
    <row r="2673" spans="1:24" x14ac:dyDescent="0.25">
      <c r="A2673" t="s">
        <v>5253</v>
      </c>
      <c r="B2673" t="s">
        <v>5257</v>
      </c>
      <c r="C2673" t="s">
        <v>4368</v>
      </c>
      <c r="D2673">
        <v>260</v>
      </c>
      <c r="H2673">
        <f t="shared" si="41"/>
        <v>0</v>
      </c>
      <c r="S2673" t="s">
        <v>12</v>
      </c>
      <c r="X2673" t="s">
        <v>17</v>
      </c>
    </row>
    <row r="2674" spans="1:24" x14ac:dyDescent="0.25">
      <c r="A2674" t="s">
        <v>5251</v>
      </c>
      <c r="C2674" t="s">
        <v>4369</v>
      </c>
      <c r="D2674">
        <v>128</v>
      </c>
      <c r="E2674" t="s">
        <v>4370</v>
      </c>
      <c r="H2674" t="str">
        <f t="shared" si="41"/>
        <v>This sets the minimum value for cl_cmdrate. 0 == unlimited.</v>
      </c>
      <c r="S2674" t="s">
        <v>12</v>
      </c>
    </row>
    <row r="2675" spans="1:24" x14ac:dyDescent="0.25">
      <c r="A2675" t="s">
        <v>5251</v>
      </c>
      <c r="C2675" t="s">
        <v>4371</v>
      </c>
      <c r="D2675">
        <v>16000</v>
      </c>
      <c r="E2675" t="s">
        <v>4372</v>
      </c>
      <c r="H2675" t="str">
        <f t="shared" si="41"/>
        <v>Min bandwidth rate allowed on server, 0 == unlimited</v>
      </c>
      <c r="S2675" t="s">
        <v>12</v>
      </c>
    </row>
    <row r="2676" spans="1:24" x14ac:dyDescent="0.25">
      <c r="A2676" t="s">
        <v>5251</v>
      </c>
      <c r="C2676" t="s">
        <v>4373</v>
      </c>
      <c r="D2676">
        <v>128</v>
      </c>
      <c r="E2676" t="s">
        <v>4374</v>
      </c>
      <c r="H2676" t="str">
        <f t="shared" si="41"/>
        <v>Minimum updates per second that the server will allow</v>
      </c>
      <c r="S2676" t="s">
        <v>12</v>
      </c>
    </row>
    <row r="2677" spans="1:24" x14ac:dyDescent="0.25">
      <c r="A2677" t="s">
        <v>5251</v>
      </c>
      <c r="C2677" t="s">
        <v>4375</v>
      </c>
      <c r="D2677">
        <v>0</v>
      </c>
      <c r="E2677" t="s">
        <v>4376</v>
      </c>
      <c r="H2677" t="str">
        <f t="shared" si="41"/>
        <v>If set, whenever a game ends, if the server uptime is less than this number of hours, the server will continue running regardle</v>
      </c>
    </row>
    <row r="2678" spans="1:24" x14ac:dyDescent="0.25">
      <c r="A2678" t="s">
        <v>5251</v>
      </c>
      <c r="C2678" t="s">
        <v>4377</v>
      </c>
      <c r="D2678">
        <v>5</v>
      </c>
      <c r="H2678">
        <f t="shared" si="41"/>
        <v>0</v>
      </c>
      <c r="I2678" t="s">
        <v>2</v>
      </c>
      <c r="N2678" t="s">
        <v>7</v>
      </c>
      <c r="S2678" t="s">
        <v>12</v>
      </c>
      <c r="X2678" t="s">
        <v>17</v>
      </c>
    </row>
    <row r="2679" spans="1:24" x14ac:dyDescent="0.25">
      <c r="A2679" t="s">
        <v>5251</v>
      </c>
      <c r="C2679" t="s">
        <v>4378</v>
      </c>
      <c r="D2679">
        <v>0</v>
      </c>
      <c r="E2679" t="s">
        <v>4379</v>
      </c>
      <c r="H2679" t="str">
        <f t="shared" si="41"/>
        <v>If cheats are enabled, then you can noclip with the game paused (for doing screenshots, etc.).</v>
      </c>
      <c r="L2679" t="s">
        <v>5</v>
      </c>
      <c r="S2679" t="s">
        <v>12</v>
      </c>
      <c r="X2679" t="s">
        <v>17</v>
      </c>
    </row>
    <row r="2680" spans="1:24" x14ac:dyDescent="0.25">
      <c r="A2680" t="s">
        <v>5251</v>
      </c>
      <c r="C2680" t="s">
        <v>4380</v>
      </c>
      <c r="D2680">
        <v>5</v>
      </c>
      <c r="H2680">
        <f t="shared" si="41"/>
        <v>0</v>
      </c>
      <c r="I2680" t="s">
        <v>2</v>
      </c>
      <c r="N2680" t="s">
        <v>7</v>
      </c>
      <c r="S2680" t="s">
        <v>12</v>
      </c>
      <c r="X2680" t="s">
        <v>17</v>
      </c>
    </row>
    <row r="2681" spans="1:24" x14ac:dyDescent="0.25">
      <c r="A2681" t="s">
        <v>5251</v>
      </c>
      <c r="C2681" t="s">
        <v>4381</v>
      </c>
      <c r="D2681">
        <v>1</v>
      </c>
      <c r="H2681">
        <f t="shared" si="41"/>
        <v>0</v>
      </c>
      <c r="K2681" t="s">
        <v>4</v>
      </c>
    </row>
    <row r="2682" spans="1:24" x14ac:dyDescent="0.25">
      <c r="A2682" t="s">
        <v>5251</v>
      </c>
      <c r="C2682" t="s">
        <v>4382</v>
      </c>
      <c r="D2682">
        <v>0</v>
      </c>
      <c r="H2682">
        <f t="shared" si="41"/>
        <v>0</v>
      </c>
      <c r="S2682" t="s">
        <v>12</v>
      </c>
      <c r="X2682" t="s">
        <v>17</v>
      </c>
    </row>
    <row r="2683" spans="1:24" x14ac:dyDescent="0.25">
      <c r="A2683" t="s">
        <v>5251</v>
      </c>
      <c r="C2683" t="s">
        <v>4383</v>
      </c>
      <c r="D2683">
        <v>1</v>
      </c>
      <c r="H2683">
        <f t="shared" si="41"/>
        <v>0</v>
      </c>
    </row>
    <row r="2684" spans="1:24" x14ac:dyDescent="0.25">
      <c r="A2684" t="s">
        <v>5251</v>
      </c>
      <c r="C2684" t="s">
        <v>4384</v>
      </c>
      <c r="D2684">
        <v>0</v>
      </c>
      <c r="E2684" t="s">
        <v>4385</v>
      </c>
      <c r="H2684" t="str">
        <f t="shared" si="41"/>
        <v>Pack and send snapshots in parallel for smoother server tick rate at the expense of spending more CPU.</v>
      </c>
    </row>
    <row r="2685" spans="1:24" x14ac:dyDescent="0.25">
      <c r="A2685" t="s">
        <v>5251</v>
      </c>
      <c r="C2685" t="s">
        <v>4386</v>
      </c>
      <c r="D2685">
        <v>1</v>
      </c>
      <c r="H2685">
        <f t="shared" si="41"/>
        <v>0</v>
      </c>
    </row>
    <row r="2686" spans="1:24" x14ac:dyDescent="0.25">
      <c r="A2686" t="s">
        <v>5253</v>
      </c>
      <c r="C2686" t="s">
        <v>4387</v>
      </c>
      <c r="D2686">
        <v>0</v>
      </c>
      <c r="E2686" t="s">
        <v>4388</v>
      </c>
      <c r="H2686" t="str">
        <f t="shared" si="41"/>
        <v>Party!!</v>
      </c>
      <c r="S2686" t="s">
        <v>12</v>
      </c>
      <c r="X2686" t="s">
        <v>17</v>
      </c>
    </row>
    <row r="2687" spans="1:24" x14ac:dyDescent="0.25">
      <c r="A2687" t="s">
        <v>5253</v>
      </c>
      <c r="C2687" t="s">
        <v>4389</v>
      </c>
      <c r="D2687">
        <v>0</v>
      </c>
      <c r="E2687" t="s">
        <v>4390</v>
      </c>
      <c r="H2687" t="str">
        <f t="shared" si="41"/>
        <v>Server password for entry into multiplayer games</v>
      </c>
      <c r="N2687" t="s">
        <v>7</v>
      </c>
      <c r="O2687" t="s">
        <v>8</v>
      </c>
      <c r="U2687" t="s">
        <v>14</v>
      </c>
    </row>
    <row r="2688" spans="1:24" x14ac:dyDescent="0.25">
      <c r="A2688" t="s">
        <v>5253</v>
      </c>
      <c r="C2688" t="s">
        <v>4391</v>
      </c>
      <c r="D2688">
        <v>0</v>
      </c>
      <c r="E2688" t="s">
        <v>4392</v>
      </c>
      <c r="H2688" t="str">
        <f t="shared" si="41"/>
        <v>Is the server pausable.</v>
      </c>
    </row>
    <row r="2689" spans="1:19" x14ac:dyDescent="0.25">
      <c r="A2689" t="s">
        <v>5251</v>
      </c>
      <c r="C2689" t="s">
        <v>4393</v>
      </c>
      <c r="D2689">
        <v>-200</v>
      </c>
      <c r="H2689">
        <f t="shared" si="41"/>
        <v>0</v>
      </c>
      <c r="K2689" t="s">
        <v>4</v>
      </c>
      <c r="S2689" t="s">
        <v>12</v>
      </c>
    </row>
    <row r="2690" spans="1:19" x14ac:dyDescent="0.25">
      <c r="A2690" t="s">
        <v>5251</v>
      </c>
      <c r="C2690" t="s">
        <v>4394</v>
      </c>
      <c r="D2690" t="s">
        <v>25</v>
      </c>
      <c r="E2690" t="s">
        <v>4395</v>
      </c>
      <c r="H2690" t="str">
        <f t="shared" si="41"/>
        <v>Show precache info.</v>
      </c>
    </row>
    <row r="2691" spans="1:19" x14ac:dyDescent="0.25">
      <c r="A2691" t="s">
        <v>5253</v>
      </c>
      <c r="C2691" t="s">
        <v>4396</v>
      </c>
      <c r="D2691">
        <v>0</v>
      </c>
      <c r="E2691" t="s">
        <v>4397</v>
      </c>
      <c r="H2691" t="str">
        <f t="shared" ref="H2691:H2754" si="42">IF(F2691="",E2691, F2691 &amp; " - Original Helptext: " &amp;E2691)</f>
        <v>When this setting is enabled only prime users can connect to this game server.</v>
      </c>
      <c r="K2691" t="s">
        <v>4</v>
      </c>
    </row>
    <row r="2692" spans="1:19" x14ac:dyDescent="0.25">
      <c r="A2692" t="s">
        <v>5251</v>
      </c>
      <c r="C2692" t="s">
        <v>4398</v>
      </c>
      <c r="D2692">
        <v>1</v>
      </c>
      <c r="H2692">
        <f t="shared" si="42"/>
        <v>0</v>
      </c>
      <c r="K2692" t="s">
        <v>4</v>
      </c>
      <c r="S2692" t="s">
        <v>12</v>
      </c>
    </row>
    <row r="2693" spans="1:19" x14ac:dyDescent="0.25">
      <c r="A2693" t="s">
        <v>5252</v>
      </c>
      <c r="C2693" t="s">
        <v>4399</v>
      </c>
      <c r="D2693" t="s">
        <v>25</v>
      </c>
      <c r="E2693" t="s">
        <v>4400</v>
      </c>
      <c r="F2693" t="s">
        <v>5248</v>
      </c>
      <c r="G2693" t="s">
        <v>5253</v>
      </c>
      <c r="H2693" t="str">
        <f t="shared" si="42"/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694" spans="1:19" x14ac:dyDescent="0.25">
      <c r="A2694" t="s">
        <v>5252</v>
      </c>
      <c r="C2694" t="s">
        <v>4401</v>
      </c>
      <c r="D2694">
        <v>1</v>
      </c>
      <c r="E2694" t="s">
        <v>4402</v>
      </c>
      <c r="H2694" t="str">
        <f t="shared" si="42"/>
        <v>If set to 1, clients may load non-vpk files from pure protected directories.</v>
      </c>
    </row>
    <row r="2695" spans="1:19" x14ac:dyDescent="0.25">
      <c r="A2695" t="s">
        <v>5252</v>
      </c>
      <c r="C2695" t="s">
        <v>4403</v>
      </c>
      <c r="D2695">
        <v>1</v>
      </c>
      <c r="E2695" t="s">
        <v>4404</v>
      </c>
      <c r="H2695" t="str">
        <f t="shared" si="42"/>
        <v>If set to 1, the server will allow clients to play if files they loaded are missing on server, otherwise treat client as file m</v>
      </c>
    </row>
    <row r="2696" spans="1:19" x14ac:dyDescent="0.25">
      <c r="A2696" t="s">
        <v>5252</v>
      </c>
      <c r="C2696" t="s">
        <v>4405</v>
      </c>
      <c r="D2696" s="1">
        <v>100000000000</v>
      </c>
      <c r="E2696" t="s">
        <v>4406</v>
      </c>
      <c r="H2696" t="str">
        <f t="shared" si="42"/>
        <v>Minimum number of file hashes to agree to form a consensus.</v>
      </c>
    </row>
    <row r="2697" spans="1:19" x14ac:dyDescent="0.25">
      <c r="A2697" t="s">
        <v>5252</v>
      </c>
      <c r="C2697" t="s">
        <v>4407</v>
      </c>
      <c r="D2697">
        <v>1</v>
      </c>
      <c r="E2697" t="s">
        <v>4408</v>
      </c>
      <c r="H2697" t="str">
        <f t="shared" si="42"/>
        <v>If set to 1, the server will kick clients with mismatching files. Otherwise, it will issue a warning to the client.</v>
      </c>
    </row>
    <row r="2698" spans="1:19" x14ac:dyDescent="0.25">
      <c r="A2698" t="s">
        <v>5252</v>
      </c>
      <c r="C2698" t="s">
        <v>4409</v>
      </c>
      <c r="D2698">
        <v>900</v>
      </c>
      <c r="E2698" t="s">
        <v>4410</v>
      </c>
      <c r="H2698" t="str">
        <f t="shared" si="42"/>
        <v>Seconds of server idle time to flush the sv_pure file hash cache.</v>
      </c>
    </row>
    <row r="2699" spans="1:19" x14ac:dyDescent="0.25">
      <c r="A2699" t="s">
        <v>5252</v>
      </c>
      <c r="C2699" t="s">
        <v>4411</v>
      </c>
      <c r="D2699">
        <v>0</v>
      </c>
      <c r="E2699" t="s">
        <v>4412</v>
      </c>
      <c r="H2699" t="str">
        <f t="shared" si="42"/>
        <v>If set to 1, the server will print a message whenever a client is verifying a CRC for a file.</v>
      </c>
    </row>
    <row r="2700" spans="1:19" x14ac:dyDescent="0.25">
      <c r="A2700" t="s">
        <v>5251</v>
      </c>
      <c r="C2700" t="s">
        <v>4413</v>
      </c>
      <c r="D2700">
        <v>20000</v>
      </c>
      <c r="E2700" t="s">
        <v>4414</v>
      </c>
      <c r="H2700" t="str">
        <f t="shared" si="42"/>
        <v>How hard the hostage is pushed away from physics objects (falls off with inverse square of distance).</v>
      </c>
      <c r="K2700" t="s">
        <v>4</v>
      </c>
      <c r="L2700" t="s">
        <v>5</v>
      </c>
      <c r="S2700" t="s">
        <v>12</v>
      </c>
    </row>
    <row r="2701" spans="1:19" x14ac:dyDescent="0.25">
      <c r="A2701" t="s">
        <v>5251</v>
      </c>
      <c r="C2701" t="s">
        <v>4415</v>
      </c>
      <c r="D2701">
        <v>1000</v>
      </c>
      <c r="E2701" t="s">
        <v>4416</v>
      </c>
      <c r="H2701" t="str">
        <f t="shared" si="42"/>
        <v>Maximum of how hard the hostage is pushed away from physics objects.</v>
      </c>
      <c r="K2701" t="s">
        <v>4</v>
      </c>
      <c r="L2701" t="s">
        <v>5</v>
      </c>
      <c r="S2701" t="s">
        <v>12</v>
      </c>
    </row>
    <row r="2702" spans="1:19" x14ac:dyDescent="0.25">
      <c r="A2702" t="s">
        <v>5251</v>
      </c>
      <c r="C2702" t="s">
        <v>4417</v>
      </c>
      <c r="D2702">
        <v>1</v>
      </c>
      <c r="E2702" t="s">
        <v>4418</v>
      </c>
      <c r="H2702" t="str">
        <f t="shared" si="42"/>
        <v>Skips SetupBones when npc's are outside the PVS</v>
      </c>
      <c r="I2702" t="s">
        <v>2</v>
      </c>
      <c r="K2702" t="s">
        <v>4</v>
      </c>
    </row>
    <row r="2703" spans="1:19" x14ac:dyDescent="0.25">
      <c r="A2703" t="s">
        <v>5251</v>
      </c>
      <c r="C2703" t="s">
        <v>4419</v>
      </c>
      <c r="D2703" t="s">
        <v>25</v>
      </c>
      <c r="E2703" t="s">
        <v>4420</v>
      </c>
      <c r="H2703" t="str">
        <f t="shared" si="42"/>
        <v>Display status of the query cache (client only)</v>
      </c>
    </row>
    <row r="2704" spans="1:19" x14ac:dyDescent="0.25">
      <c r="A2704" t="s">
        <v>5251</v>
      </c>
      <c r="C2704" t="s">
        <v>4421</v>
      </c>
      <c r="D2704">
        <v>40</v>
      </c>
      <c r="E2704" t="s">
        <v>4422</v>
      </c>
      <c r="H2704" t="str">
        <f t="shared" si="42"/>
        <v>How many string commands per second clients are allowed to submit, 0 to disallow all string commands</v>
      </c>
    </row>
    <row r="2705" spans="1:24" x14ac:dyDescent="0.25">
      <c r="A2705" t="s">
        <v>5252</v>
      </c>
      <c r="C2705" t="s">
        <v>4423</v>
      </c>
      <c r="D2705">
        <v>10</v>
      </c>
      <c r="E2705" t="s">
        <v>4424</v>
      </c>
      <c r="H2705" t="str">
        <f t="shared" si="42"/>
        <v>The number of seconds before radio command tokens refresh.</v>
      </c>
      <c r="K2705" t="s">
        <v>4</v>
      </c>
    </row>
    <row r="2706" spans="1:24" x14ac:dyDescent="0.25">
      <c r="A2706" t="s">
        <v>5252</v>
      </c>
      <c r="C2706" t="s">
        <v>4425</v>
      </c>
      <c r="D2706">
        <v>0</v>
      </c>
      <c r="E2706" t="s">
        <v>4426</v>
      </c>
      <c r="H2706" t="str">
        <f t="shared" si="42"/>
        <v>When set, rcon failed authentications will never ban this address, e.g. '127.0.0.1'</v>
      </c>
    </row>
    <row r="2707" spans="1:24" x14ac:dyDescent="0.25">
      <c r="A2707" t="s">
        <v>5251</v>
      </c>
      <c r="C2707" t="s">
        <v>4427</v>
      </c>
      <c r="D2707">
        <v>0</v>
      </c>
      <c r="E2707" t="s">
        <v>4428</v>
      </c>
      <c r="H2707" t="str">
        <f t="shared" si="42"/>
        <v>Turn on recording of per player item time data into the server log.</v>
      </c>
      <c r="K2707" t="s">
        <v>4</v>
      </c>
    </row>
    <row r="2708" spans="1:24" x14ac:dyDescent="0.25">
      <c r="A2708" t="s">
        <v>5251</v>
      </c>
      <c r="C2708" t="s">
        <v>4429</v>
      </c>
      <c r="D2708">
        <v>0</v>
      </c>
      <c r="E2708" t="s">
        <v>4430</v>
      </c>
      <c r="H2708" t="str">
        <f t="shared" si="42"/>
        <v>Cheat to test regenerative health systems</v>
      </c>
      <c r="K2708" t="s">
        <v>4</v>
      </c>
      <c r="L2708" t="s">
        <v>5</v>
      </c>
    </row>
    <row r="2709" spans="1:24" x14ac:dyDescent="0.25">
      <c r="A2709" t="s">
        <v>5253</v>
      </c>
      <c r="C2709" t="s">
        <v>4431</v>
      </c>
      <c r="D2709">
        <v>-1</v>
      </c>
      <c r="E2709" t="s">
        <v>4432</v>
      </c>
      <c r="H2709" t="str">
        <f t="shared" si="42"/>
        <v>The region of the world to report this server in.</v>
      </c>
    </row>
    <row r="2710" spans="1:24" x14ac:dyDescent="0.25">
      <c r="A2710" t="s">
        <v>5251</v>
      </c>
      <c r="C2710" t="s">
        <v>4433</v>
      </c>
      <c r="D2710">
        <v>0</v>
      </c>
      <c r="E2710" t="s">
        <v>4434</v>
      </c>
      <c r="H2710" t="str">
        <f t="shared" si="42"/>
        <v>When enabled player avatars are exchanged via gameserver (0: off, 1: players, 2: server)</v>
      </c>
      <c r="S2710" t="s">
        <v>12</v>
      </c>
    </row>
    <row r="2711" spans="1:24" x14ac:dyDescent="0.25">
      <c r="A2711" t="s">
        <v>5251</v>
      </c>
      <c r="C2711" t="s">
        <v>4435</v>
      </c>
      <c r="D2711">
        <v>1</v>
      </c>
      <c r="H2711">
        <f t="shared" si="42"/>
        <v>0</v>
      </c>
      <c r="K2711" t="s">
        <v>4</v>
      </c>
    </row>
    <row r="2712" spans="1:24" x14ac:dyDescent="0.25">
      <c r="A2712" t="s">
        <v>5252</v>
      </c>
      <c r="C2712" t="s">
        <v>4436</v>
      </c>
      <c r="D2712">
        <v>1</v>
      </c>
      <c r="E2712" t="s">
        <v>4437</v>
      </c>
      <c r="H2712" t="str">
        <f t="shared" si="42"/>
        <v>If set to 1, the server records data needed to replay network stream from bot's perspective</v>
      </c>
    </row>
    <row r="2713" spans="1:24" x14ac:dyDescent="0.25">
      <c r="A2713" t="s">
        <v>5251</v>
      </c>
      <c r="C2713" t="s">
        <v>4438</v>
      </c>
      <c r="D2713">
        <v>0</v>
      </c>
      <c r="E2713" t="s">
        <v>4439</v>
      </c>
      <c r="H2713" t="str">
        <f t="shared" si="42"/>
        <v>Adjust server tickrate upon reservation</v>
      </c>
    </row>
    <row r="2714" spans="1:24" x14ac:dyDescent="0.25">
      <c r="A2714" t="s">
        <v>5251</v>
      </c>
      <c r="C2714" t="s">
        <v>4440</v>
      </c>
      <c r="D2714">
        <v>45</v>
      </c>
      <c r="E2714" t="s">
        <v>4441</v>
      </c>
      <c r="H2714" t="str">
        <f t="shared" si="42"/>
        <v>Time in seconds before lobby reservation expires.</v>
      </c>
    </row>
    <row r="2715" spans="1:24" x14ac:dyDescent="0.25">
      <c r="A2715" t="s">
        <v>5251</v>
      </c>
      <c r="C2715" t="s">
        <v>4442</v>
      </c>
      <c r="D2715" t="s">
        <v>25</v>
      </c>
      <c r="E2715" t="s">
        <v>4443</v>
      </c>
      <c r="H2715" t="str">
        <f t="shared" si="42"/>
        <v>Emit the last grenade thrown on the server.</v>
      </c>
    </row>
    <row r="2716" spans="1:24" x14ac:dyDescent="0.25">
      <c r="A2716" t="s">
        <v>5251</v>
      </c>
      <c r="C2716" t="s">
        <v>4444</v>
      </c>
      <c r="D2716">
        <v>0</v>
      </c>
      <c r="E2716" t="s">
        <v>4445</v>
      </c>
      <c r="H2716" t="str">
        <f t="shared" si="42"/>
        <v>When searching for a dedicated server from lobby, restrict search to only dedicated servers having the same sv_search_key.</v>
      </c>
    </row>
    <row r="2717" spans="1:24" x14ac:dyDescent="0.25">
      <c r="A2717" t="s">
        <v>5251</v>
      </c>
      <c r="C2717" t="s">
        <v>4446</v>
      </c>
      <c r="D2717">
        <v>0</v>
      </c>
      <c r="E2717" t="s">
        <v>4447</v>
      </c>
      <c r="H2717" t="str">
        <f t="shared" si="42"/>
        <v>When initiating team search, set this key to match with known opponents team</v>
      </c>
    </row>
    <row r="2718" spans="1:24" x14ac:dyDescent="0.25">
      <c r="A2718" t="s">
        <v>5251</v>
      </c>
      <c r="C2718" t="s">
        <v>4448</v>
      </c>
      <c r="D2718" t="s">
        <v>25</v>
      </c>
      <c r="E2718" t="s">
        <v>4449</v>
      </c>
      <c r="H2718" t="str">
        <f t="shared" si="42"/>
        <v>show stats of running parallel send</v>
      </c>
    </row>
    <row r="2719" spans="1:24" x14ac:dyDescent="0.25">
      <c r="A2719" t="s">
        <v>5251</v>
      </c>
      <c r="C2719" t="s">
        <v>4450</v>
      </c>
      <c r="D2719">
        <v>0</v>
      </c>
      <c r="E2719" t="s">
        <v>4451</v>
      </c>
      <c r="H2719" t="str">
        <f t="shared" si="42"/>
        <v>A 360x60 (&lt;16kb) image file in /csgo/ that will be displayed to spectators.</v>
      </c>
      <c r="S2719" t="s">
        <v>12</v>
      </c>
      <c r="X2719" t="s">
        <v>17</v>
      </c>
    </row>
    <row r="2720" spans="1:24" x14ac:dyDescent="0.25">
      <c r="A2720" t="s">
        <v>5251</v>
      </c>
      <c r="C2720" t="s">
        <v>4452</v>
      </c>
      <c r="D2720">
        <v>0</v>
      </c>
      <c r="E2720" t="s">
        <v>4453</v>
      </c>
      <c r="H2720" t="str">
        <f t="shared" si="42"/>
        <v>A 220x45 (&lt;16kb) image file in /csgo/ that will be displayed to spectators.</v>
      </c>
      <c r="S2720" t="s">
        <v>12</v>
      </c>
      <c r="X2720" t="s">
        <v>17</v>
      </c>
    </row>
    <row r="2721" spans="1:24" x14ac:dyDescent="0.25">
      <c r="A2721" t="s">
        <v>5251</v>
      </c>
      <c r="C2721" t="s">
        <v>4454</v>
      </c>
      <c r="D2721">
        <v>1</v>
      </c>
      <c r="H2721">
        <f t="shared" si="42"/>
        <v>0</v>
      </c>
      <c r="L2721" t="s">
        <v>5</v>
      </c>
      <c r="S2721" t="s">
        <v>12</v>
      </c>
      <c r="X2721" t="s">
        <v>17</v>
      </c>
    </row>
    <row r="2722" spans="1:24" x14ac:dyDescent="0.25">
      <c r="A2722" t="s">
        <v>5252</v>
      </c>
      <c r="C2722" t="s">
        <v>4455</v>
      </c>
      <c r="D2722" t="s">
        <v>25</v>
      </c>
      <c r="E2722" t="s">
        <v>5228</v>
      </c>
      <c r="H2722" t="str">
        <f t="shared" si="42"/>
        <v>token Set game server account token to use for logging in to a persistent game server account</v>
      </c>
    </row>
    <row r="2723" spans="1:24" x14ac:dyDescent="0.25">
      <c r="A2723" t="s">
        <v>5252</v>
      </c>
      <c r="C2723" t="s">
        <v>4456</v>
      </c>
      <c r="D2723">
        <v>99</v>
      </c>
      <c r="H2723">
        <f t="shared" si="42"/>
        <v>0</v>
      </c>
      <c r="S2723" t="s">
        <v>12</v>
      </c>
      <c r="X2723" t="s">
        <v>17</v>
      </c>
    </row>
    <row r="2724" spans="1:24" x14ac:dyDescent="0.25">
      <c r="A2724" t="s">
        <v>5252</v>
      </c>
      <c r="C2724" t="s">
        <v>4457</v>
      </c>
      <c r="D2724">
        <v>10</v>
      </c>
      <c r="H2724">
        <f t="shared" si="42"/>
        <v>0</v>
      </c>
      <c r="S2724" t="s">
        <v>12</v>
      </c>
      <c r="X2724" t="s">
        <v>17</v>
      </c>
    </row>
    <row r="2725" spans="1:24" x14ac:dyDescent="0.25">
      <c r="A2725" t="s">
        <v>5252</v>
      </c>
      <c r="C2725" t="s">
        <v>4458</v>
      </c>
      <c r="D2725">
        <v>250</v>
      </c>
      <c r="H2725">
        <f t="shared" si="42"/>
        <v>0</v>
      </c>
      <c r="S2725" t="s">
        <v>12</v>
      </c>
      <c r="X2725" t="s">
        <v>17</v>
      </c>
    </row>
    <row r="2726" spans="1:24" x14ac:dyDescent="0.25">
      <c r="A2726" t="s">
        <v>5252</v>
      </c>
      <c r="C2726" t="s">
        <v>4459</v>
      </c>
      <c r="D2726">
        <v>4</v>
      </c>
      <c r="H2726">
        <f t="shared" si="42"/>
        <v>0</v>
      </c>
      <c r="S2726" t="s">
        <v>12</v>
      </c>
      <c r="X2726" t="s">
        <v>17</v>
      </c>
    </row>
    <row r="2727" spans="1:24" x14ac:dyDescent="0.25">
      <c r="A2727" t="s">
        <v>5252</v>
      </c>
      <c r="C2727" t="s">
        <v>4460</v>
      </c>
      <c r="D2727">
        <v>0</v>
      </c>
      <c r="H2727">
        <f t="shared" si="42"/>
        <v>0</v>
      </c>
      <c r="S2727" t="s">
        <v>12</v>
      </c>
      <c r="X2727" t="s">
        <v>17</v>
      </c>
    </row>
    <row r="2728" spans="1:24" x14ac:dyDescent="0.25">
      <c r="A2728" t="s">
        <v>5252</v>
      </c>
      <c r="C2728" t="s">
        <v>4461</v>
      </c>
      <c r="D2728">
        <v>650</v>
      </c>
      <c r="H2728">
        <f t="shared" si="42"/>
        <v>0</v>
      </c>
      <c r="S2728" t="s">
        <v>12</v>
      </c>
      <c r="X2728" t="s">
        <v>17</v>
      </c>
    </row>
    <row r="2729" spans="1:24" x14ac:dyDescent="0.25">
      <c r="A2729" t="s">
        <v>5251</v>
      </c>
      <c r="C2729" t="s">
        <v>4462</v>
      </c>
      <c r="D2729">
        <v>0</v>
      </c>
      <c r="E2729" t="s">
        <v>4463</v>
      </c>
      <c r="H2729" t="str">
        <f t="shared" si="42"/>
        <v>Print out props that are being culled/added by recipent proxies.</v>
      </c>
    </row>
    <row r="2730" spans="1:24" x14ac:dyDescent="0.25">
      <c r="A2730" t="s">
        <v>5251</v>
      </c>
      <c r="C2730" t="s">
        <v>4464</v>
      </c>
      <c r="D2730">
        <v>0</v>
      </c>
      <c r="H2730">
        <f t="shared" si="42"/>
        <v>0</v>
      </c>
      <c r="S2730" t="s">
        <v>12</v>
      </c>
      <c r="X2730" t="s">
        <v>17</v>
      </c>
    </row>
    <row r="2731" spans="1:24" x14ac:dyDescent="0.25">
      <c r="A2731" t="s">
        <v>5251</v>
      </c>
      <c r="C2731" t="s">
        <v>4465</v>
      </c>
      <c r="D2731">
        <v>0</v>
      </c>
      <c r="E2731" t="s">
        <v>4466</v>
      </c>
      <c r="H2731" t="str">
        <f t="shared" si="42"/>
        <v>Force on if not prohibited</v>
      </c>
      <c r="S2731" t="s">
        <v>12</v>
      </c>
      <c r="X2731" t="s">
        <v>17</v>
      </c>
    </row>
    <row r="2732" spans="1:24" x14ac:dyDescent="0.25">
      <c r="A2732" t="s">
        <v>5251</v>
      </c>
      <c r="C2732" t="s">
        <v>4467</v>
      </c>
      <c r="D2732">
        <v>0</v>
      </c>
      <c r="E2732" t="s">
        <v>4468</v>
      </c>
      <c r="H2732" t="str">
        <f t="shared" si="42"/>
        <v>Determines whether +cl_show_team_equipment is prohibited.</v>
      </c>
      <c r="N2732" t="s">
        <v>7</v>
      </c>
      <c r="S2732" t="s">
        <v>12</v>
      </c>
      <c r="X2732" t="s">
        <v>17</v>
      </c>
    </row>
    <row r="2733" spans="1:24" x14ac:dyDescent="0.25">
      <c r="A2733" t="s">
        <v>5251</v>
      </c>
      <c r="C2733" t="s">
        <v>4469</v>
      </c>
      <c r="D2733">
        <v>0</v>
      </c>
      <c r="E2733" t="s">
        <v>4470</v>
      </c>
      <c r="H2733" t="str">
        <f t="shared" si="42"/>
        <v>Makes it so the voip icon is shown over enemies as well as allies when they are talking</v>
      </c>
      <c r="K2733" t="s">
        <v>4</v>
      </c>
      <c r="S2733" t="s">
        <v>12</v>
      </c>
    </row>
    <row r="2734" spans="1:24" x14ac:dyDescent="0.25">
      <c r="A2734" t="s">
        <v>5253</v>
      </c>
      <c r="C2734" t="s">
        <v>4471</v>
      </c>
      <c r="D2734">
        <v>0</v>
      </c>
      <c r="E2734" t="s">
        <v>4472</v>
      </c>
      <c r="H2734" t="str">
        <f t="shared" si="42"/>
        <v>1=show hits and near misses, 2=show hits only</v>
      </c>
      <c r="S2734" t="s">
        <v>12</v>
      </c>
      <c r="X2734" t="s">
        <v>17</v>
      </c>
    </row>
    <row r="2735" spans="1:24" x14ac:dyDescent="0.25">
      <c r="A2735" t="s">
        <v>5253</v>
      </c>
      <c r="C2735" t="s">
        <v>4473</v>
      </c>
      <c r="D2735">
        <v>0</v>
      </c>
      <c r="E2735" t="s">
        <v>4474</v>
      </c>
      <c r="H2735" t="str">
        <f t="shared" si="42"/>
        <v>Shows client (red) and server (blue) bullet impact point (1=both, 2=client-only, 3=server-only)</v>
      </c>
      <c r="S2735" t="s">
        <v>12</v>
      </c>
      <c r="X2735" t="s">
        <v>17</v>
      </c>
    </row>
    <row r="2736" spans="1:24" x14ac:dyDescent="0.25">
      <c r="A2736" t="s">
        <v>5253</v>
      </c>
      <c r="C2736" t="s">
        <v>4475</v>
      </c>
      <c r="D2736">
        <v>0</v>
      </c>
      <c r="E2736" t="s">
        <v>4476</v>
      </c>
      <c r="H2736" t="str">
        <f t="shared" si="42"/>
        <v>Shows extra data when bullets penetrate. (use sv_showimpacts_time to increase time shown)</v>
      </c>
      <c r="S2736" t="s">
        <v>12</v>
      </c>
      <c r="X2736" t="s">
        <v>17</v>
      </c>
    </row>
    <row r="2737" spans="1:24" x14ac:dyDescent="0.25">
      <c r="A2737" t="s">
        <v>5253</v>
      </c>
      <c r="C2737" t="s">
        <v>4477</v>
      </c>
      <c r="D2737">
        <v>4</v>
      </c>
      <c r="E2737" t="s">
        <v>4478</v>
      </c>
      <c r="H2737" t="str">
        <f t="shared" si="42"/>
        <v>Duration bullet impact indicators remain before disappearing</v>
      </c>
      <c r="S2737" t="s">
        <v>12</v>
      </c>
      <c r="X2737" t="s">
        <v>17</v>
      </c>
    </row>
    <row r="2738" spans="1:24" x14ac:dyDescent="0.25">
      <c r="A2738" t="s">
        <v>5251</v>
      </c>
      <c r="C2738" t="s">
        <v>4479</v>
      </c>
      <c r="D2738">
        <v>0</v>
      </c>
      <c r="E2738" t="s">
        <v>4480</v>
      </c>
      <c r="H2738" t="str">
        <f t="shared" si="42"/>
        <v>Show lag compensated hitboxes whenever a player is lag compensated.</v>
      </c>
      <c r="K2738" t="s">
        <v>4</v>
      </c>
      <c r="L2738" t="s">
        <v>5</v>
      </c>
    </row>
    <row r="2739" spans="1:24" x14ac:dyDescent="0.25">
      <c r="A2739" t="s">
        <v>5251</v>
      </c>
      <c r="C2739" t="s">
        <v>4481</v>
      </c>
      <c r="D2739">
        <v>4</v>
      </c>
      <c r="E2739" t="s">
        <v>4482</v>
      </c>
      <c r="H2739" t="str">
        <f t="shared" si="42"/>
        <v>Duration to show lag-compensated hitboxes</v>
      </c>
      <c r="K2739" t="s">
        <v>4</v>
      </c>
      <c r="L2739" t="s">
        <v>5</v>
      </c>
    </row>
    <row r="2740" spans="1:24" x14ac:dyDescent="0.25">
      <c r="A2740" t="s">
        <v>5253</v>
      </c>
      <c r="C2740" t="s">
        <v>4483</v>
      </c>
      <c r="D2740" t="s">
        <v>25</v>
      </c>
      <c r="E2740" t="s">
        <v>4484</v>
      </c>
      <c r="H2740" t="str">
        <f t="shared" si="42"/>
        <v>Describe current gametags.</v>
      </c>
    </row>
    <row r="2741" spans="1:24" x14ac:dyDescent="0.25">
      <c r="A2741" t="s">
        <v>5253</v>
      </c>
      <c r="C2741" t="s">
        <v>4485</v>
      </c>
      <c r="D2741" t="s">
        <v>25</v>
      </c>
      <c r="E2741" t="s">
        <v>4486</v>
      </c>
      <c r="H2741" t="str">
        <f t="shared" si="42"/>
        <v>Sets the server to shutdown when all games have completed</v>
      </c>
    </row>
    <row r="2742" spans="1:24" x14ac:dyDescent="0.25">
      <c r="A2742" t="s">
        <v>5252</v>
      </c>
      <c r="C2742" t="s">
        <v>4487</v>
      </c>
      <c r="D2742">
        <v>0</v>
      </c>
      <c r="E2742" t="s">
        <v>4488</v>
      </c>
      <c r="H2742" t="str">
        <f t="shared" si="42"/>
        <v>Dedicated server skirmish id to run</v>
      </c>
      <c r="S2742" t="s">
        <v>12</v>
      </c>
      <c r="X2742" t="s">
        <v>17</v>
      </c>
    </row>
    <row r="2743" spans="1:24" x14ac:dyDescent="0.25">
      <c r="A2743" t="s">
        <v>5251</v>
      </c>
      <c r="C2743" t="s">
        <v>4489</v>
      </c>
      <c r="D2743">
        <v>0</v>
      </c>
      <c r="E2743" t="s">
        <v>4490</v>
      </c>
      <c r="H2743" t="str">
        <f t="shared" si="42"/>
        <v>Current name of the skybox texture</v>
      </c>
      <c r="I2743" t="s">
        <v>2</v>
      </c>
      <c r="S2743" t="s">
        <v>12</v>
      </c>
      <c r="X2743" t="s">
        <v>17</v>
      </c>
    </row>
    <row r="2744" spans="1:24" x14ac:dyDescent="0.25">
      <c r="A2744" t="s">
        <v>5251</v>
      </c>
      <c r="C2744" t="s">
        <v>4491</v>
      </c>
      <c r="D2744" t="s">
        <v>25</v>
      </c>
      <c r="E2744" t="s">
        <v>846</v>
      </c>
      <c r="H2744" t="str">
        <f t="shared" si="42"/>
        <v>Flushes the sounds.txt system</v>
      </c>
    </row>
    <row r="2745" spans="1:24" x14ac:dyDescent="0.25">
      <c r="A2745" t="s">
        <v>5251</v>
      </c>
      <c r="C2745" t="s">
        <v>4492</v>
      </c>
      <c r="D2745" t="s">
        <v>25</v>
      </c>
      <c r="E2745" t="s">
        <v>850</v>
      </c>
      <c r="H2745" t="str">
        <f t="shared" si="42"/>
        <v>print soundscapes</v>
      </c>
    </row>
    <row r="2746" spans="1:24" x14ac:dyDescent="0.25">
      <c r="A2746" t="s">
        <v>5253</v>
      </c>
      <c r="C2746" t="s">
        <v>4493</v>
      </c>
      <c r="D2746">
        <v>15</v>
      </c>
      <c r="E2746" t="s">
        <v>4494</v>
      </c>
      <c r="H2746" t="str">
        <f t="shared" si="42"/>
        <v>Players that have never moved since they spawned will drop the bomb after this amount of time.</v>
      </c>
      <c r="K2746" t="s">
        <v>4</v>
      </c>
      <c r="S2746" t="s">
        <v>12</v>
      </c>
    </row>
    <row r="2747" spans="1:24" x14ac:dyDescent="0.25">
      <c r="A2747" t="s">
        <v>5251</v>
      </c>
      <c r="C2747" t="s">
        <v>4495</v>
      </c>
      <c r="D2747">
        <v>8</v>
      </c>
      <c r="H2747">
        <f t="shared" si="42"/>
        <v>0</v>
      </c>
      <c r="K2747" t="s">
        <v>4</v>
      </c>
      <c r="S2747" t="s">
        <v>12</v>
      </c>
    </row>
    <row r="2748" spans="1:24" x14ac:dyDescent="0.25">
      <c r="A2748" t="s">
        <v>5251</v>
      </c>
      <c r="C2748" t="s">
        <v>4496</v>
      </c>
      <c r="D2748">
        <v>2</v>
      </c>
      <c r="H2748">
        <f t="shared" si="42"/>
        <v>0</v>
      </c>
      <c r="K2748" t="s">
        <v>4</v>
      </c>
      <c r="S2748" t="s">
        <v>12</v>
      </c>
    </row>
    <row r="2749" spans="1:24" x14ac:dyDescent="0.25">
      <c r="A2749" t="s">
        <v>5253</v>
      </c>
      <c r="C2749" t="s">
        <v>4497</v>
      </c>
      <c r="D2749">
        <v>1</v>
      </c>
      <c r="E2749" t="s">
        <v>4498</v>
      </c>
      <c r="H2749" t="str">
        <f t="shared" si="42"/>
        <v>Determines who spectators can hear: 0: only spectators; 1: all players; 2: spectated team; 3: self only; 4: nobody</v>
      </c>
      <c r="N2749" t="s">
        <v>7</v>
      </c>
      <c r="S2749" t="s">
        <v>12</v>
      </c>
      <c r="X2749" t="s">
        <v>17</v>
      </c>
    </row>
    <row r="2750" spans="1:24" x14ac:dyDescent="0.25">
      <c r="A2750" t="s">
        <v>5251</v>
      </c>
      <c r="C2750" t="s">
        <v>4499</v>
      </c>
      <c r="D2750">
        <v>0</v>
      </c>
      <c r="H2750">
        <f t="shared" si="42"/>
        <v>0</v>
      </c>
      <c r="K2750" t="s">
        <v>4</v>
      </c>
      <c r="S2750" t="s">
        <v>12</v>
      </c>
    </row>
    <row r="2751" spans="1:24" x14ac:dyDescent="0.25">
      <c r="A2751" t="s">
        <v>5251</v>
      </c>
      <c r="C2751" t="s">
        <v>4500</v>
      </c>
      <c r="D2751">
        <v>0</v>
      </c>
      <c r="H2751">
        <f t="shared" si="42"/>
        <v>0</v>
      </c>
      <c r="S2751" t="s">
        <v>12</v>
      </c>
      <c r="X2751" t="s">
        <v>17</v>
      </c>
    </row>
    <row r="2752" spans="1:24" x14ac:dyDescent="0.25">
      <c r="A2752" t="s">
        <v>5252</v>
      </c>
      <c r="C2752" t="s">
        <v>4501</v>
      </c>
      <c r="D2752">
        <v>5</v>
      </c>
      <c r="H2752">
        <f t="shared" si="42"/>
        <v>0</v>
      </c>
      <c r="I2752" t="s">
        <v>2</v>
      </c>
      <c r="N2752" t="s">
        <v>7</v>
      </c>
      <c r="S2752" t="s">
        <v>12</v>
      </c>
      <c r="X2752" t="s">
        <v>17</v>
      </c>
    </row>
    <row r="2753" spans="1:24" x14ac:dyDescent="0.25">
      <c r="A2753" t="s">
        <v>5252</v>
      </c>
      <c r="C2753" t="s">
        <v>4502</v>
      </c>
      <c r="D2753">
        <v>1</v>
      </c>
      <c r="H2753">
        <f t="shared" si="42"/>
        <v>0</v>
      </c>
      <c r="I2753" t="s">
        <v>2</v>
      </c>
      <c r="N2753" t="s">
        <v>7</v>
      </c>
      <c r="S2753" t="s">
        <v>12</v>
      </c>
      <c r="X2753" t="s">
        <v>17</v>
      </c>
    </row>
    <row r="2754" spans="1:24" x14ac:dyDescent="0.25">
      <c r="A2754" t="s">
        <v>5252</v>
      </c>
      <c r="C2754" t="s">
        <v>4503</v>
      </c>
      <c r="D2754">
        <v>3</v>
      </c>
      <c r="H2754">
        <f t="shared" si="42"/>
        <v>0</v>
      </c>
      <c r="I2754" t="s">
        <v>2</v>
      </c>
      <c r="N2754" t="s">
        <v>7</v>
      </c>
      <c r="S2754" t="s">
        <v>12</v>
      </c>
      <c r="X2754" t="s">
        <v>17</v>
      </c>
    </row>
    <row r="2755" spans="1:24" x14ac:dyDescent="0.25">
      <c r="A2755" t="s">
        <v>5252</v>
      </c>
      <c r="C2755" t="s">
        <v>4504</v>
      </c>
      <c r="D2755">
        <v>0</v>
      </c>
      <c r="E2755" t="s">
        <v>4505</v>
      </c>
      <c r="H2755" t="str">
        <f t="shared" ref="H2755:H2818" si="43">IF(F2755="",E2755, F2755 &amp; " - Original Helptext: " &amp;E2755)</f>
        <v>Stamina penalty for jumping</v>
      </c>
      <c r="S2755" t="s">
        <v>12</v>
      </c>
      <c r="X2755" t="s">
        <v>17</v>
      </c>
    </row>
    <row r="2756" spans="1:24" x14ac:dyDescent="0.25">
      <c r="A2756" t="s">
        <v>5252</v>
      </c>
      <c r="C2756" t="s">
        <v>4506</v>
      </c>
      <c r="D2756">
        <v>0</v>
      </c>
      <c r="E2756" t="s">
        <v>4507</v>
      </c>
      <c r="H2756" t="str">
        <f t="shared" si="43"/>
        <v>Stamina penalty for landing</v>
      </c>
      <c r="S2756" t="s">
        <v>12</v>
      </c>
      <c r="X2756" t="s">
        <v>17</v>
      </c>
    </row>
    <row r="2757" spans="1:24" x14ac:dyDescent="0.25">
      <c r="A2757" t="s">
        <v>5252</v>
      </c>
      <c r="C2757" t="s">
        <v>4508</v>
      </c>
      <c r="D2757">
        <v>80</v>
      </c>
      <c r="E2757" t="s">
        <v>4509</v>
      </c>
      <c r="H2757" t="str">
        <f t="shared" si="43"/>
        <v>Maximum stamina penalty</v>
      </c>
      <c r="S2757" t="s">
        <v>12</v>
      </c>
      <c r="X2757" t="s">
        <v>17</v>
      </c>
    </row>
    <row r="2758" spans="1:24" x14ac:dyDescent="0.25">
      <c r="A2758" t="s">
        <v>5252</v>
      </c>
      <c r="C2758" t="s">
        <v>4510</v>
      </c>
      <c r="D2758">
        <v>60</v>
      </c>
      <c r="E2758" t="s">
        <v>4511</v>
      </c>
      <c r="H2758" t="str">
        <f t="shared" si="43"/>
        <v>Rate at which stamina recovers (units/sec)</v>
      </c>
      <c r="S2758" t="s">
        <v>12</v>
      </c>
      <c r="X2758" t="s">
        <v>17</v>
      </c>
    </row>
    <row r="2759" spans="1:24" x14ac:dyDescent="0.25">
      <c r="A2759" t="s">
        <v>5251</v>
      </c>
      <c r="C2759" t="s">
        <v>4512</v>
      </c>
      <c r="D2759">
        <v>0</v>
      </c>
      <c r="H2759">
        <f t="shared" si="43"/>
        <v>0</v>
      </c>
      <c r="S2759" t="s">
        <v>12</v>
      </c>
      <c r="X2759" t="s">
        <v>17</v>
      </c>
    </row>
    <row r="2760" spans="1:24" x14ac:dyDescent="0.25">
      <c r="A2760" t="s">
        <v>5251</v>
      </c>
      <c r="C2760" t="s">
        <v>4513</v>
      </c>
      <c r="D2760">
        <v>2</v>
      </c>
      <c r="E2760" t="s">
        <v>4514</v>
      </c>
      <c r="H2760" t="str">
        <f t="shared" si="43"/>
        <v>By default, player must maintain a reliable connection to Steam servers. When player Steam session drops, enforce it: 2 = insta</v>
      </c>
    </row>
    <row r="2761" spans="1:24" x14ac:dyDescent="0.25">
      <c r="A2761" t="s">
        <v>5251</v>
      </c>
      <c r="C2761" t="s">
        <v>4515</v>
      </c>
      <c r="D2761">
        <v>0</v>
      </c>
      <c r="E2761" t="s">
        <v>4516</v>
      </c>
      <c r="H2761" t="str">
        <f t="shared" si="43"/>
        <v>The ID of the steam group that this server belongs to. You can find your group's ID on the admin profile page in the steam comm</v>
      </c>
      <c r="N2761" t="s">
        <v>7</v>
      </c>
    </row>
    <row r="2762" spans="1:24" x14ac:dyDescent="0.25">
      <c r="A2762" t="s">
        <v>5251</v>
      </c>
      <c r="C2762" t="s">
        <v>4517</v>
      </c>
      <c r="D2762">
        <v>0</v>
      </c>
      <c r="E2762" t="s">
        <v>4518</v>
      </c>
      <c r="H2762" t="str">
        <f t="shared" si="43"/>
        <v>If set, only members of Steam group will be able to join the server when it's empty, public people will be able to join the ser</v>
      </c>
    </row>
    <row r="2763" spans="1:24" x14ac:dyDescent="0.25">
      <c r="A2763" t="s">
        <v>5251</v>
      </c>
      <c r="C2763" t="s">
        <v>4519</v>
      </c>
      <c r="D2763">
        <v>80</v>
      </c>
      <c r="E2763" t="s">
        <v>4520</v>
      </c>
      <c r="H2763" t="str">
        <f t="shared" si="43"/>
        <v>Minimum stopping speed when on ground.</v>
      </c>
      <c r="N2763" t="s">
        <v>7</v>
      </c>
      <c r="S2763" t="s">
        <v>12</v>
      </c>
      <c r="X2763" t="s">
        <v>17</v>
      </c>
    </row>
    <row r="2764" spans="1:24" x14ac:dyDescent="0.25">
      <c r="A2764" t="s">
        <v>5251</v>
      </c>
      <c r="C2764" t="s">
        <v>4521</v>
      </c>
      <c r="D2764">
        <v>0</v>
      </c>
      <c r="E2764" t="s">
        <v>4522</v>
      </c>
      <c r="H2764" t="str">
        <f t="shared" si="43"/>
        <v>If set to 1, the server calculates data and fills packets to bots. Used for perf testing.</v>
      </c>
    </row>
    <row r="2765" spans="1:24" x14ac:dyDescent="0.25">
      <c r="A2765" t="s">
        <v>5251</v>
      </c>
      <c r="C2765" t="s">
        <v>4523</v>
      </c>
      <c r="D2765">
        <v>0</v>
      </c>
      <c r="H2765">
        <f t="shared" si="43"/>
        <v>0</v>
      </c>
      <c r="S2765" t="s">
        <v>12</v>
      </c>
      <c r="X2765" t="s">
        <v>17</v>
      </c>
    </row>
    <row r="2766" spans="1:24" x14ac:dyDescent="0.25">
      <c r="A2766" t="s">
        <v>5253</v>
      </c>
      <c r="C2766" t="s">
        <v>4524</v>
      </c>
      <c r="D2766">
        <v>0</v>
      </c>
      <c r="E2766" t="s">
        <v>4525</v>
      </c>
      <c r="H2766" t="str">
        <f t="shared" si="43"/>
        <v>Server tags. Used to provide extra information to clients when they're browsing for servers. Separate tags with a comma.</v>
      </c>
      <c r="N2766" t="s">
        <v>7</v>
      </c>
    </row>
    <row r="2767" spans="1:24" x14ac:dyDescent="0.25">
      <c r="A2767" t="s">
        <v>5253</v>
      </c>
      <c r="C2767" t="s">
        <v>4526</v>
      </c>
      <c r="D2767">
        <v>0</v>
      </c>
      <c r="E2767" t="s">
        <v>4527</v>
      </c>
      <c r="H2767" t="str">
        <f t="shared" si="43"/>
        <v>The number of seconds a player can continue talking after dying as if they were still alive</v>
      </c>
      <c r="S2767" t="s">
        <v>12</v>
      </c>
      <c r="X2767" t="s">
        <v>17</v>
      </c>
    </row>
    <row r="2768" spans="1:24" x14ac:dyDescent="0.25">
      <c r="A2768" t="s">
        <v>5253</v>
      </c>
      <c r="C2768" t="s">
        <v>4528</v>
      </c>
      <c r="D2768">
        <v>1</v>
      </c>
      <c r="E2768" t="s">
        <v>4529</v>
      </c>
      <c r="H2768" t="str">
        <f t="shared" si="43"/>
        <v>Dead players can hear all dead enemy communication (voice, chat)</v>
      </c>
      <c r="S2768" t="s">
        <v>12</v>
      </c>
      <c r="X2768" t="s">
        <v>17</v>
      </c>
    </row>
    <row r="2769" spans="1:24" x14ac:dyDescent="0.25">
      <c r="A2769" t="s">
        <v>5253</v>
      </c>
      <c r="C2769" t="s">
        <v>4530</v>
      </c>
      <c r="D2769">
        <v>0</v>
      </c>
      <c r="E2769" t="s">
        <v>4531</v>
      </c>
      <c r="H2769" t="str">
        <f t="shared" si="43"/>
        <v>Living players can hear all living enemy communication (voice, chat)</v>
      </c>
      <c r="S2769" t="s">
        <v>12</v>
      </c>
      <c r="X2769" t="s">
        <v>17</v>
      </c>
    </row>
    <row r="2770" spans="1:24" x14ac:dyDescent="0.25">
      <c r="A2770" t="s">
        <v>5253</v>
      </c>
      <c r="C2770" t="s">
        <v>4532</v>
      </c>
      <c r="D2770">
        <v>1</v>
      </c>
      <c r="E2770" t="s">
        <v>4533</v>
      </c>
      <c r="H2770" t="str">
        <f t="shared" si="43"/>
        <v>Shows teamID over player's heads.  0 = off, 1 = on</v>
      </c>
      <c r="N2770" t="s">
        <v>7</v>
      </c>
      <c r="S2770" t="s">
        <v>12</v>
      </c>
      <c r="X2770" t="s">
        <v>17</v>
      </c>
    </row>
    <row r="2771" spans="1:24" x14ac:dyDescent="0.25">
      <c r="A2771" t="s">
        <v>5253</v>
      </c>
      <c r="C2771" t="s">
        <v>4534</v>
      </c>
      <c r="D2771">
        <v>0</v>
      </c>
      <c r="E2771" t="s">
        <v>4535</v>
      </c>
      <c r="H2771" t="str">
        <f t="shared" si="43"/>
        <v>Determines whether cl_teamid_overhead_always is prohibited.</v>
      </c>
      <c r="N2771" t="s">
        <v>7</v>
      </c>
      <c r="S2771" t="s">
        <v>12</v>
      </c>
      <c r="X2771" t="s">
        <v>17</v>
      </c>
    </row>
    <row r="2772" spans="1:24" x14ac:dyDescent="0.25">
      <c r="A2772" t="s">
        <v>5253</v>
      </c>
      <c r="C2772" t="s">
        <v>4536</v>
      </c>
      <c r="D2772">
        <v>0</v>
      </c>
      <c r="E2772" t="s">
        <v>4537</v>
      </c>
      <c r="H2772" t="str">
        <f t="shared" si="43"/>
        <v>If &gt;0, server will override cl_teamid_overhead_maxdist</v>
      </c>
      <c r="S2772" t="s">
        <v>12</v>
      </c>
      <c r="X2772" t="s">
        <v>17</v>
      </c>
    </row>
    <row r="2773" spans="1:24" x14ac:dyDescent="0.25">
      <c r="A2773" t="s">
        <v>5253</v>
      </c>
      <c r="C2773" t="s">
        <v>4538</v>
      </c>
      <c r="D2773">
        <v>0</v>
      </c>
      <c r="E2773" t="s">
        <v>4539</v>
      </c>
      <c r="H2773" t="str">
        <f t="shared" si="43"/>
        <v>If &gt;0, server will override cl_teamid_overhead_maxdist_spec</v>
      </c>
      <c r="S2773" t="s">
        <v>12</v>
      </c>
      <c r="X2773" t="s">
        <v>17</v>
      </c>
    </row>
    <row r="2774" spans="1:24" x14ac:dyDescent="0.25">
      <c r="A2774" t="s">
        <v>5253</v>
      </c>
      <c r="C2774" t="s">
        <v>4540</v>
      </c>
      <c r="D2774">
        <v>0</v>
      </c>
      <c r="E2774" t="s">
        <v>4541</v>
      </c>
      <c r="H2774" t="str">
        <f t="shared" si="43"/>
        <v>Minimum time before recognizing consecutive duck key</v>
      </c>
      <c r="S2774" t="s">
        <v>12</v>
      </c>
      <c r="X2774" t="s">
        <v>17</v>
      </c>
    </row>
    <row r="2775" spans="1:24" x14ac:dyDescent="0.25">
      <c r="A2775" t="s">
        <v>5251</v>
      </c>
      <c r="C2775" t="s">
        <v>4542</v>
      </c>
      <c r="D2775">
        <v>4</v>
      </c>
      <c r="H2775">
        <f t="shared" si="43"/>
        <v>0</v>
      </c>
      <c r="L2775" t="s">
        <v>5</v>
      </c>
      <c r="S2775" t="s">
        <v>12</v>
      </c>
      <c r="X2775" t="s">
        <v>17</v>
      </c>
    </row>
    <row r="2776" spans="1:24" x14ac:dyDescent="0.25">
      <c r="A2776" t="s">
        <v>5251</v>
      </c>
      <c r="C2776" t="s">
        <v>4543</v>
      </c>
      <c r="D2776">
        <v>0</v>
      </c>
      <c r="H2776">
        <f t="shared" si="43"/>
        <v>0</v>
      </c>
      <c r="L2776" t="s">
        <v>5</v>
      </c>
      <c r="S2776" t="s">
        <v>12</v>
      </c>
      <c r="X2776" t="s">
        <v>17</v>
      </c>
    </row>
    <row r="2777" spans="1:24" x14ac:dyDescent="0.25">
      <c r="A2777" t="s">
        <v>5251</v>
      </c>
      <c r="C2777" t="s">
        <v>4544</v>
      </c>
      <c r="D2777">
        <v>0</v>
      </c>
      <c r="H2777">
        <f t="shared" si="43"/>
        <v>0</v>
      </c>
      <c r="L2777" t="s">
        <v>5</v>
      </c>
      <c r="S2777" t="s">
        <v>12</v>
      </c>
      <c r="X2777" t="s">
        <v>17</v>
      </c>
    </row>
    <row r="2778" spans="1:24" x14ac:dyDescent="0.25">
      <c r="A2778" t="s">
        <v>5251</v>
      </c>
      <c r="C2778" t="s">
        <v>4545</v>
      </c>
      <c r="D2778">
        <v>1000</v>
      </c>
      <c r="H2778">
        <f t="shared" si="43"/>
        <v>0</v>
      </c>
      <c r="K2778" t="s">
        <v>4</v>
      </c>
    </row>
    <row r="2779" spans="1:24" x14ac:dyDescent="0.25">
      <c r="A2779" t="s">
        <v>5251</v>
      </c>
      <c r="C2779" t="s">
        <v>4546</v>
      </c>
      <c r="D2779">
        <v>1</v>
      </c>
      <c r="E2779" t="s">
        <v>4547</v>
      </c>
      <c r="H2779" t="str">
        <f t="shared" si="43"/>
        <v>Highest unlocked game chapter.</v>
      </c>
      <c r="I2779" t="s">
        <v>2</v>
      </c>
    </row>
    <row r="2780" spans="1:24" x14ac:dyDescent="0.25">
      <c r="A2780" t="s">
        <v>5251</v>
      </c>
      <c r="C2780" t="s">
        <v>4548</v>
      </c>
      <c r="D2780">
        <v>1</v>
      </c>
      <c r="E2780" t="s">
        <v>4549</v>
      </c>
      <c r="H2780" t="str">
        <f t="shared" si="43"/>
        <v>When enabled server will populate an additional random seed independent of the client</v>
      </c>
      <c r="K2780" t="s">
        <v>4</v>
      </c>
    </row>
    <row r="2781" spans="1:24" x14ac:dyDescent="0.25">
      <c r="A2781" t="s">
        <v>5251</v>
      </c>
      <c r="C2781" t="s">
        <v>4550</v>
      </c>
      <c r="D2781">
        <v>0</v>
      </c>
      <c r="E2781" t="s">
        <v>4551</v>
      </c>
      <c r="H2781" t="str">
        <f t="shared" si="43"/>
        <v>Verify that edict changeinfos are being calculated properly (used to debug local network backdoor mode).</v>
      </c>
    </row>
    <row r="2782" spans="1:24" x14ac:dyDescent="0.25">
      <c r="A2782" t="s">
        <v>5251</v>
      </c>
      <c r="C2782" t="s">
        <v>4552</v>
      </c>
      <c r="D2782">
        <v>0</v>
      </c>
      <c r="E2782" t="s">
        <v>4553</v>
      </c>
      <c r="H2782" t="str">
        <f t="shared" si="43"/>
        <v>Determines which scene is used for the versus screen.</v>
      </c>
      <c r="K2782" t="s">
        <v>4</v>
      </c>
    </row>
    <row r="2783" spans="1:24" x14ac:dyDescent="0.25">
      <c r="A2783" t="s">
        <v>5252</v>
      </c>
      <c r="C2783" t="s">
        <v>4554</v>
      </c>
      <c r="D2783">
        <v>-1</v>
      </c>
      <c r="E2783" t="s">
        <v>4555</v>
      </c>
      <c r="H2783" t="str">
        <f t="shared" si="43"/>
        <v>Overrides the max players reported to prospective clients</v>
      </c>
    </row>
    <row r="2784" spans="1:24" x14ac:dyDescent="0.25">
      <c r="A2784" t="s">
        <v>5251</v>
      </c>
      <c r="C2784" t="s">
        <v>4556</v>
      </c>
      <c r="D2784">
        <v>-1</v>
      </c>
      <c r="H2784">
        <f t="shared" si="43"/>
        <v>0</v>
      </c>
      <c r="K2784" t="s">
        <v>4</v>
      </c>
      <c r="S2784" t="s">
        <v>12</v>
      </c>
    </row>
    <row r="2785" spans="1:19" x14ac:dyDescent="0.25">
      <c r="A2785" t="s">
        <v>5251</v>
      </c>
      <c r="C2785" t="s">
        <v>4557</v>
      </c>
      <c r="D2785">
        <v>0</v>
      </c>
      <c r="H2785">
        <f t="shared" si="43"/>
        <v>0</v>
      </c>
      <c r="S2785" t="s">
        <v>12</v>
      </c>
    </row>
    <row r="2786" spans="1:19" x14ac:dyDescent="0.25">
      <c r="A2786" t="s">
        <v>5251</v>
      </c>
      <c r="C2786" t="s">
        <v>4558</v>
      </c>
      <c r="D2786">
        <v>0</v>
      </c>
      <c r="H2786">
        <f t="shared" si="43"/>
        <v>0</v>
      </c>
      <c r="K2786" t="s">
        <v>4</v>
      </c>
      <c r="S2786" t="s">
        <v>12</v>
      </c>
    </row>
    <row r="2787" spans="1:19" x14ac:dyDescent="0.25">
      <c r="A2787" t="s">
        <v>5251</v>
      </c>
      <c r="C2787" t="s">
        <v>4559</v>
      </c>
      <c r="D2787">
        <v>0</v>
      </c>
      <c r="H2787">
        <f t="shared" si="43"/>
        <v>0</v>
      </c>
      <c r="S2787" t="s">
        <v>12</v>
      </c>
    </row>
    <row r="2788" spans="1:19" x14ac:dyDescent="0.25">
      <c r="A2788" t="s">
        <v>5251</v>
      </c>
      <c r="C2788" t="s">
        <v>4560</v>
      </c>
      <c r="D2788">
        <v>0</v>
      </c>
      <c r="E2788" t="s">
        <v>4561</v>
      </c>
      <c r="H2788" t="str">
        <f t="shared" si="43"/>
        <v>Specifies which voice codec DLL to use in a game. Set to the name of the DLL without the extension.</v>
      </c>
      <c r="S2788" t="s">
        <v>12</v>
      </c>
    </row>
    <row r="2789" spans="1:19" x14ac:dyDescent="0.25">
      <c r="A2789" t="s">
        <v>5253</v>
      </c>
      <c r="C2789" t="s">
        <v>4562</v>
      </c>
      <c r="D2789">
        <v>1</v>
      </c>
      <c r="H2789">
        <f t="shared" si="43"/>
        <v>0</v>
      </c>
      <c r="I2789" t="s">
        <v>2</v>
      </c>
      <c r="N2789" t="s">
        <v>7</v>
      </c>
    </row>
    <row r="2790" spans="1:19" x14ac:dyDescent="0.25">
      <c r="A2790" t="s">
        <v>5253</v>
      </c>
      <c r="C2790" t="s">
        <v>4563</v>
      </c>
      <c r="D2790">
        <v>0</v>
      </c>
      <c r="E2790" t="s">
        <v>4564</v>
      </c>
      <c r="H2790" t="str">
        <f t="shared" si="43"/>
        <v>Allow voting during warmup?</v>
      </c>
      <c r="K2790" t="s">
        <v>4</v>
      </c>
    </row>
    <row r="2791" spans="1:19" x14ac:dyDescent="0.25">
      <c r="A2791" t="s">
        <v>5253</v>
      </c>
      <c r="C2791" t="s">
        <v>4565</v>
      </c>
      <c r="D2791">
        <v>0</v>
      </c>
      <c r="E2791" t="s">
        <v>4566</v>
      </c>
      <c r="H2791" t="str">
        <f t="shared" si="43"/>
        <v>Allow spectators to initiate votes?</v>
      </c>
      <c r="K2791" t="s">
        <v>4</v>
      </c>
    </row>
    <row r="2792" spans="1:19" x14ac:dyDescent="0.25">
      <c r="A2792" t="s">
        <v>5253</v>
      </c>
      <c r="C2792" t="s">
        <v>4567</v>
      </c>
      <c r="D2792">
        <v>2</v>
      </c>
      <c r="E2792" t="s">
        <v>4568</v>
      </c>
      <c r="H2792" t="str">
        <f t="shared" si="43"/>
        <v>How long after a vote passes until the action happens</v>
      </c>
      <c r="K2792" t="s">
        <v>4</v>
      </c>
    </row>
    <row r="2793" spans="1:19" x14ac:dyDescent="0.25">
      <c r="A2793" t="s">
        <v>5253</v>
      </c>
      <c r="C2793" t="s">
        <v>4569</v>
      </c>
      <c r="D2793">
        <v>0</v>
      </c>
      <c r="E2793" t="s">
        <v>4570</v>
      </c>
      <c r="H2793" t="str">
        <f t="shared" si="43"/>
        <v>Allow spectators to vote on issues?</v>
      </c>
      <c r="K2793" t="s">
        <v>4</v>
      </c>
    </row>
    <row r="2794" spans="1:19" x14ac:dyDescent="0.25">
      <c r="A2794" t="s">
        <v>5253</v>
      </c>
      <c r="C2794" t="s">
        <v>4571</v>
      </c>
      <c r="D2794">
        <v>120</v>
      </c>
      <c r="E2794" t="s">
        <v>4572</v>
      </c>
      <c r="H2794" t="str">
        <f t="shared" si="43"/>
        <v>How often someone can individually call a vote.</v>
      </c>
      <c r="K2794" t="s">
        <v>4</v>
      </c>
    </row>
    <row r="2795" spans="1:19" x14ac:dyDescent="0.25">
      <c r="A2795" t="s">
        <v>5253</v>
      </c>
      <c r="C2795" t="s">
        <v>4573</v>
      </c>
      <c r="D2795">
        <v>0</v>
      </c>
      <c r="E2795" t="s">
        <v>4574</v>
      </c>
      <c r="H2795" t="str">
        <f t="shared" si="43"/>
        <v>Disallow vote kicking on the match point round.</v>
      </c>
      <c r="K2795" t="s">
        <v>4</v>
      </c>
    </row>
    <row r="2796" spans="1:19" x14ac:dyDescent="0.25">
      <c r="A2796" t="s">
        <v>5253</v>
      </c>
      <c r="C2796" t="s">
        <v>4575</v>
      </c>
      <c r="D2796">
        <v>300</v>
      </c>
      <c r="E2796" t="s">
        <v>4576</v>
      </c>
      <c r="H2796" t="str">
        <f t="shared" si="43"/>
        <v>A vote that fails cannot be re-submitted for this long</v>
      </c>
      <c r="K2796" t="s">
        <v>4</v>
      </c>
    </row>
    <row r="2797" spans="1:19" x14ac:dyDescent="0.25">
      <c r="A2797" t="s">
        <v>5253</v>
      </c>
      <c r="C2797" t="s">
        <v>4577</v>
      </c>
      <c r="D2797">
        <v>1</v>
      </c>
      <c r="E2797" t="s">
        <v>4578</v>
      </c>
      <c r="H2797" t="str">
        <f t="shared" si="43"/>
        <v>Can people hold votes to kick players from the server?</v>
      </c>
      <c r="K2797" t="s">
        <v>4</v>
      </c>
      <c r="N2797" t="s">
        <v>7</v>
      </c>
      <c r="S2797" t="s">
        <v>12</v>
      </c>
    </row>
    <row r="2798" spans="1:19" x14ac:dyDescent="0.25">
      <c r="A2798" t="s">
        <v>5253</v>
      </c>
      <c r="C2798" t="s">
        <v>4579</v>
      </c>
      <c r="D2798">
        <v>1</v>
      </c>
      <c r="E2798" t="s">
        <v>4580</v>
      </c>
      <c r="H2798" t="str">
        <f t="shared" si="43"/>
        <v>Can people hold votes to load match from backup?</v>
      </c>
      <c r="K2798" t="s">
        <v>4</v>
      </c>
      <c r="N2798" t="s">
        <v>7</v>
      </c>
      <c r="S2798" t="s">
        <v>12</v>
      </c>
    </row>
    <row r="2799" spans="1:19" x14ac:dyDescent="0.25">
      <c r="A2799" t="s">
        <v>5253</v>
      </c>
      <c r="C2799" t="s">
        <v>4581</v>
      </c>
      <c r="D2799">
        <v>0</v>
      </c>
      <c r="E2799" t="s">
        <v>4582</v>
      </c>
      <c r="H2799" t="str">
        <f t="shared" si="43"/>
        <v>When enabled, admins load match from backup without players vote</v>
      </c>
      <c r="K2799" t="s">
        <v>4</v>
      </c>
    </row>
    <row r="2800" spans="1:19" x14ac:dyDescent="0.25">
      <c r="A2800" t="s">
        <v>5253</v>
      </c>
      <c r="C2800" t="s">
        <v>4583</v>
      </c>
      <c r="D2800">
        <v>0</v>
      </c>
      <c r="E2800" t="s">
        <v>4584</v>
      </c>
      <c r="H2800" t="str">
        <f t="shared" si="43"/>
        <v>When enabled, only admins load match from backup</v>
      </c>
      <c r="K2800" t="s">
        <v>4</v>
      </c>
      <c r="N2800" t="s">
        <v>7</v>
      </c>
      <c r="S2800" t="s">
        <v>12</v>
      </c>
    </row>
    <row r="2801" spans="1:24" x14ac:dyDescent="0.25">
      <c r="A2801" t="s">
        <v>5253</v>
      </c>
      <c r="C2801" t="s">
        <v>4585</v>
      </c>
      <c r="D2801">
        <v>1</v>
      </c>
      <c r="E2801" t="s">
        <v>4586</v>
      </c>
      <c r="H2801" t="str">
        <f t="shared" si="43"/>
        <v>When enabled, admins load match from backup in safe time of the round only</v>
      </c>
      <c r="K2801" t="s">
        <v>4</v>
      </c>
    </row>
    <row r="2802" spans="1:24" x14ac:dyDescent="0.25">
      <c r="A2802" t="s">
        <v>5253</v>
      </c>
      <c r="C2802" t="s">
        <v>4587</v>
      </c>
      <c r="D2802">
        <v>0</v>
      </c>
      <c r="E2802" t="s">
        <v>4588</v>
      </c>
      <c r="H2802" t="str">
        <f t="shared" si="43"/>
        <v>When enabled, only admins start technical pause</v>
      </c>
      <c r="K2802" t="s">
        <v>4</v>
      </c>
      <c r="N2802" t="s">
        <v>7</v>
      </c>
      <c r="S2802" t="s">
        <v>12</v>
      </c>
    </row>
    <row r="2803" spans="1:24" x14ac:dyDescent="0.25">
      <c r="A2803" t="s">
        <v>5253</v>
      </c>
      <c r="C2803" t="s">
        <v>4589</v>
      </c>
      <c r="D2803">
        <v>0</v>
      </c>
      <c r="E2803" t="s">
        <v>4590</v>
      </c>
      <c r="H2803" t="str">
        <f t="shared" si="43"/>
        <v>Can people hold votes to restart the game?</v>
      </c>
      <c r="K2803" t="s">
        <v>4</v>
      </c>
    </row>
    <row r="2804" spans="1:24" x14ac:dyDescent="0.25">
      <c r="A2804" t="s">
        <v>5253</v>
      </c>
      <c r="C2804" t="s">
        <v>4591</v>
      </c>
      <c r="D2804">
        <v>15</v>
      </c>
      <c r="E2804" t="s">
        <v>4592</v>
      </c>
      <c r="H2804" t="str">
        <f t="shared" si="43"/>
        <v>How long should a kick vote ban someone from the server? (in minutes)</v>
      </c>
      <c r="K2804" t="s">
        <v>4</v>
      </c>
      <c r="N2804" t="s">
        <v>7</v>
      </c>
      <c r="S2804" t="s">
        <v>12</v>
      </c>
    </row>
    <row r="2805" spans="1:24" x14ac:dyDescent="0.25">
      <c r="A2805" t="s">
        <v>5253</v>
      </c>
      <c r="C2805" t="s">
        <v>4593</v>
      </c>
      <c r="D2805">
        <v>0</v>
      </c>
      <c r="E2805" t="s">
        <v>4594</v>
      </c>
      <c r="H2805" t="str">
        <f t="shared" si="43"/>
        <v>The minimum ratio of players needed to vote on an issue to resolve it.</v>
      </c>
      <c r="K2805" t="s">
        <v>4</v>
      </c>
    </row>
    <row r="2806" spans="1:24" x14ac:dyDescent="0.25">
      <c r="A2806" t="s">
        <v>5253</v>
      </c>
      <c r="C2806" t="s">
        <v>4595</v>
      </c>
      <c r="D2806">
        <v>15</v>
      </c>
      <c r="E2806" t="s">
        <v>4596</v>
      </c>
      <c r="H2806" t="str">
        <f t="shared" si="43"/>
        <v>How long to allow voting on an issue</v>
      </c>
      <c r="K2806" t="s">
        <v>4</v>
      </c>
    </row>
    <row r="2807" spans="1:24" x14ac:dyDescent="0.25">
      <c r="A2807" t="s">
        <v>5253</v>
      </c>
      <c r="C2807" t="s">
        <v>4597</v>
      </c>
      <c r="D2807">
        <v>1</v>
      </c>
      <c r="E2807" t="s">
        <v>4598</v>
      </c>
      <c r="H2807" t="str">
        <f t="shared" si="43"/>
        <v>Restricts vote to change level to rounds prior to match point (default 0, vote is never disallowed)</v>
      </c>
      <c r="K2807" t="s">
        <v>4</v>
      </c>
      <c r="S2807" t="s">
        <v>12</v>
      </c>
    </row>
    <row r="2808" spans="1:24" x14ac:dyDescent="0.25">
      <c r="A2808" t="s">
        <v>5251</v>
      </c>
      <c r="C2808" t="s">
        <v>4599</v>
      </c>
      <c r="D2808">
        <v>0</v>
      </c>
      <c r="H2808">
        <f t="shared" si="43"/>
        <v>0</v>
      </c>
      <c r="S2808" t="s">
        <v>12</v>
      </c>
      <c r="X2808" t="s">
        <v>17</v>
      </c>
    </row>
    <row r="2809" spans="1:24" x14ac:dyDescent="0.25">
      <c r="A2809" t="s">
        <v>5253</v>
      </c>
      <c r="C2809" t="s">
        <v>4600</v>
      </c>
      <c r="D2809">
        <v>4</v>
      </c>
      <c r="E2809" t="s">
        <v>4601</v>
      </c>
      <c r="H2809" t="str">
        <f t="shared" si="43"/>
        <v>Delay between end of warmup and start of match.</v>
      </c>
      <c r="S2809" t="s">
        <v>12</v>
      </c>
      <c r="X2809" t="s">
        <v>17</v>
      </c>
    </row>
    <row r="2810" spans="1:24" x14ac:dyDescent="0.25">
      <c r="A2810" t="s">
        <v>5251</v>
      </c>
      <c r="C2810" t="s">
        <v>4602</v>
      </c>
      <c r="D2810">
        <v>0</v>
      </c>
      <c r="H2810">
        <f t="shared" si="43"/>
        <v>0</v>
      </c>
      <c r="S2810" t="s">
        <v>12</v>
      </c>
      <c r="X2810" t="s">
        <v>17</v>
      </c>
    </row>
    <row r="2811" spans="1:24" x14ac:dyDescent="0.25">
      <c r="A2811" t="s">
        <v>5251</v>
      </c>
      <c r="C2811" t="s">
        <v>4603</v>
      </c>
      <c r="D2811">
        <v>0</v>
      </c>
      <c r="H2811">
        <f t="shared" si="43"/>
        <v>0</v>
      </c>
      <c r="S2811" t="s">
        <v>12</v>
      </c>
      <c r="X2811" t="s">
        <v>17</v>
      </c>
    </row>
    <row r="2812" spans="1:24" x14ac:dyDescent="0.25">
      <c r="A2812" t="s">
        <v>5251</v>
      </c>
      <c r="C2812" t="s">
        <v>4604</v>
      </c>
      <c r="D2812">
        <v>0</v>
      </c>
      <c r="H2812">
        <f t="shared" si="43"/>
        <v>0</v>
      </c>
      <c r="S2812" t="s">
        <v>12</v>
      </c>
      <c r="X2812" t="s">
        <v>17</v>
      </c>
    </row>
    <row r="2813" spans="1:24" x14ac:dyDescent="0.25">
      <c r="A2813" t="s">
        <v>5251</v>
      </c>
      <c r="C2813" t="s">
        <v>4605</v>
      </c>
      <c r="D2813">
        <v>0</v>
      </c>
      <c r="H2813">
        <f t="shared" si="43"/>
        <v>0</v>
      </c>
      <c r="S2813" t="s">
        <v>12</v>
      </c>
      <c r="X2813" t="s">
        <v>17</v>
      </c>
    </row>
    <row r="2814" spans="1:24" x14ac:dyDescent="0.25">
      <c r="A2814" t="s">
        <v>5251</v>
      </c>
      <c r="C2814" t="s">
        <v>4606</v>
      </c>
      <c r="D2814">
        <v>1</v>
      </c>
      <c r="H2814">
        <f t="shared" si="43"/>
        <v>0</v>
      </c>
      <c r="K2814" t="s">
        <v>4</v>
      </c>
    </row>
    <row r="2815" spans="1:24" x14ac:dyDescent="0.25">
      <c r="A2815" t="s">
        <v>5251</v>
      </c>
      <c r="C2815" t="s">
        <v>4607</v>
      </c>
      <c r="D2815">
        <v>1</v>
      </c>
      <c r="E2815" t="s">
        <v>4608</v>
      </c>
      <c r="H2815" t="str">
        <f t="shared" si="43"/>
        <v>When hosting a workshop collection, users can play other workshop map on this server when it is empty and then mapcycle into th</v>
      </c>
      <c r="K2815" t="s">
        <v>4</v>
      </c>
    </row>
    <row r="2816" spans="1:24" x14ac:dyDescent="0.25">
      <c r="A2816" t="s">
        <v>5251</v>
      </c>
      <c r="C2816" t="s">
        <v>4609</v>
      </c>
      <c r="D2816">
        <v>500</v>
      </c>
      <c r="E2816" t="s">
        <v>4610</v>
      </c>
      <c r="H2816" t="str">
        <f t="shared" si="43"/>
        <v>Lines of crash dump console spew to keep.</v>
      </c>
    </row>
    <row r="2817" spans="1:24" x14ac:dyDescent="0.25">
      <c r="A2817" t="s">
        <v>5251</v>
      </c>
      <c r="C2817" t="s">
        <v>4611</v>
      </c>
      <c r="D2817">
        <v>3000</v>
      </c>
      <c r="H2817">
        <f t="shared" si="43"/>
        <v>0</v>
      </c>
      <c r="S2817" t="s">
        <v>12</v>
      </c>
      <c r="X2817" t="s">
        <v>17</v>
      </c>
    </row>
    <row r="2818" spans="1:24" x14ac:dyDescent="0.25">
      <c r="A2818" t="s">
        <v>5251</v>
      </c>
      <c r="C2818" t="s">
        <v>4612</v>
      </c>
      <c r="D2818">
        <v>400</v>
      </c>
      <c r="H2818">
        <f t="shared" si="43"/>
        <v>0</v>
      </c>
      <c r="S2818" t="s">
        <v>12</v>
      </c>
      <c r="X2818" t="s">
        <v>17</v>
      </c>
    </row>
    <row r="2819" spans="1:24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  <c r="H2819" t="str">
        <f t="shared" ref="H2819:H2882" si="44">IF(F2819="",E2819, F2819 &amp; " - Original Helptext: " &amp;E2819)</f>
        <v>Show team selection window</v>
      </c>
    </row>
    <row r="2820" spans="1:24" x14ac:dyDescent="0.25">
      <c r="A2820" t="s">
        <v>5251</v>
      </c>
      <c r="C2820" t="s">
        <v>4615</v>
      </c>
      <c r="D2820">
        <v>0</v>
      </c>
      <c r="E2820" t="s">
        <v>4616</v>
      </c>
      <c r="H2820" t="str">
        <f t="shared" si="44"/>
        <v>Skips the prompt when saving a buy favorite in the buy menu</v>
      </c>
      <c r="I2820" t="s">
        <v>2</v>
      </c>
      <c r="W2820" t="s">
        <v>16</v>
      </c>
      <c r="X2820" t="s">
        <v>17</v>
      </c>
    </row>
    <row r="2821" spans="1:24" x14ac:dyDescent="0.25">
      <c r="A2821" t="s">
        <v>5251</v>
      </c>
      <c r="C2821" t="s">
        <v>4617</v>
      </c>
      <c r="D2821" t="s">
        <v>25</v>
      </c>
      <c r="E2821" t="s">
        <v>5229</v>
      </c>
      <c r="H2821" t="str">
        <f t="shared" si="44"/>
        <v>Test a clientside dispatch effect. 	Usage: test_dispatcheffect &lt;effect name&gt; &lt;distance away&gt; &lt;flags&gt; &lt;magnitude&gt; &lt;scale&gt; 	Defau</v>
      </c>
    </row>
    <row r="2822" spans="1:24" x14ac:dyDescent="0.25">
      <c r="A2822" t="s">
        <v>5251</v>
      </c>
      <c r="C2822" t="s">
        <v>4618</v>
      </c>
      <c r="D2822" t="s">
        <v>25</v>
      </c>
      <c r="H2822">
        <f t="shared" si="44"/>
        <v>0</v>
      </c>
    </row>
    <row r="2823" spans="1:24" x14ac:dyDescent="0.25">
      <c r="A2823" t="s">
        <v>5251</v>
      </c>
      <c r="C2823" t="s">
        <v>4619</v>
      </c>
      <c r="D2823" t="s">
        <v>25</v>
      </c>
      <c r="E2823" t="s">
        <v>4620</v>
      </c>
      <c r="H2823" t="str">
        <f t="shared" si="44"/>
        <v>Test command that drops an entity blocker out in front of the player.</v>
      </c>
    </row>
    <row r="2824" spans="1:24" x14ac:dyDescent="0.25">
      <c r="A2824" t="s">
        <v>5251</v>
      </c>
      <c r="C2824" t="s">
        <v>4621</v>
      </c>
      <c r="D2824" t="s">
        <v>25</v>
      </c>
      <c r="E2824" t="s">
        <v>4622</v>
      </c>
      <c r="H2824" t="str">
        <f t="shared" si="44"/>
        <v>Test the freeze frame code.</v>
      </c>
    </row>
    <row r="2825" spans="1:24" x14ac:dyDescent="0.25">
      <c r="A2825" t="s">
        <v>5251</v>
      </c>
      <c r="C2825" t="s">
        <v>4623</v>
      </c>
      <c r="D2825" t="s">
        <v>25</v>
      </c>
      <c r="H2825">
        <f t="shared" si="44"/>
        <v>0</v>
      </c>
    </row>
    <row r="2826" spans="1:24" x14ac:dyDescent="0.25">
      <c r="A2826" t="s">
        <v>5251</v>
      </c>
      <c r="C2826" t="s">
        <v>4624</v>
      </c>
      <c r="D2826" t="s">
        <v>25</v>
      </c>
      <c r="E2826" t="s">
        <v>4625</v>
      </c>
      <c r="H2826" t="str">
        <f t="shared" si="44"/>
        <v>Run a simple set of tests converting back and forth between JS and Protobuf objects.</v>
      </c>
    </row>
    <row r="2827" spans="1:24" x14ac:dyDescent="0.25">
      <c r="A2827" t="s">
        <v>5251</v>
      </c>
      <c r="C2827" t="s">
        <v>4626</v>
      </c>
      <c r="D2827" t="s">
        <v>25</v>
      </c>
      <c r="E2827" t="s">
        <v>4627</v>
      </c>
      <c r="H2827" t="str">
        <f t="shared" si="44"/>
        <v>Test_Loop &lt;loop name&gt; - loop back to the specified loop start point unconditionally.</v>
      </c>
    </row>
    <row r="2828" spans="1:24" x14ac:dyDescent="0.25">
      <c r="A2828" t="s">
        <v>5251</v>
      </c>
      <c r="C2828" t="s">
        <v>4628</v>
      </c>
      <c r="D2828" t="s">
        <v>25</v>
      </c>
      <c r="E2828" t="s">
        <v>4629</v>
      </c>
      <c r="H2828" t="str">
        <f t="shared" si="44"/>
        <v>Test_LoopCount &lt;loop name&gt; &lt;count&gt; - loop back to the specified loop start point the specified # of times.</v>
      </c>
    </row>
    <row r="2829" spans="1:24" x14ac:dyDescent="0.25">
      <c r="A2829" t="s">
        <v>5251</v>
      </c>
      <c r="C2829" t="s">
        <v>4630</v>
      </c>
      <c r="D2829" t="s">
        <v>25</v>
      </c>
      <c r="E2829" t="s">
        <v>4631</v>
      </c>
      <c r="H2829" t="str">
        <f t="shared" si="44"/>
        <v>Test_LoopForNumSeconds &lt;loop name&gt; &lt;time&gt; - loop back to the specified start point for the specified # of seconds.</v>
      </c>
    </row>
    <row r="2830" spans="1:24" x14ac:dyDescent="0.25">
      <c r="A2830" t="s">
        <v>5251</v>
      </c>
      <c r="C2830" t="s">
        <v>4632</v>
      </c>
      <c r="D2830" t="s">
        <v>25</v>
      </c>
      <c r="H2830">
        <f t="shared" si="44"/>
        <v>0</v>
      </c>
    </row>
    <row r="2831" spans="1:24" x14ac:dyDescent="0.25">
      <c r="A2831" t="s">
        <v>5251</v>
      </c>
      <c r="C2831" t="s">
        <v>4633</v>
      </c>
      <c r="D2831" t="s">
        <v>25</v>
      </c>
      <c r="H2831">
        <f t="shared" si="44"/>
        <v>0</v>
      </c>
    </row>
    <row r="2832" spans="1:24" x14ac:dyDescent="0.25">
      <c r="A2832" t="s">
        <v>5251</v>
      </c>
      <c r="C2832" t="s">
        <v>4634</v>
      </c>
      <c r="D2832" t="s">
        <v>25</v>
      </c>
      <c r="E2832" t="s">
        <v>4634</v>
      </c>
      <c r="H2832" t="str">
        <f t="shared" si="44"/>
        <v>Test_ProxyToggle_EnsureValue</v>
      </c>
    </row>
    <row r="2833" spans="1:9" x14ac:dyDescent="0.25">
      <c r="A2833" t="s">
        <v>5251</v>
      </c>
      <c r="C2833" t="s">
        <v>4635</v>
      </c>
      <c r="D2833" t="s">
        <v>25</v>
      </c>
      <c r="H2833">
        <f t="shared" si="44"/>
        <v>0</v>
      </c>
    </row>
    <row r="2834" spans="1:9" x14ac:dyDescent="0.25">
      <c r="A2834" t="s">
        <v>5251</v>
      </c>
      <c r="C2834" t="s">
        <v>4636</v>
      </c>
      <c r="D2834" t="s">
        <v>25</v>
      </c>
      <c r="E2834" t="s">
        <v>4637</v>
      </c>
      <c r="H2834" t="str">
        <f t="shared" si="44"/>
        <v>Test_RandomChance &lt;percent chance, 0-100&gt; &lt;token1&gt; &lt;token2...&gt; - Roll the dice and maybe run the command following the percenta</v>
      </c>
    </row>
    <row r="2835" spans="1:9" x14ac:dyDescent="0.25">
      <c r="A2835" t="s">
        <v>5251</v>
      </c>
      <c r="C2835" t="s">
        <v>4638</v>
      </c>
      <c r="D2835" t="s">
        <v>25</v>
      </c>
      <c r="H2835">
        <f t="shared" si="44"/>
        <v>0</v>
      </c>
    </row>
    <row r="2836" spans="1:9" x14ac:dyDescent="0.25">
      <c r="A2836" t="s">
        <v>5251</v>
      </c>
      <c r="C2836" t="s">
        <v>4639</v>
      </c>
      <c r="D2836" t="s">
        <v>25</v>
      </c>
      <c r="H2836">
        <f t="shared" si="44"/>
        <v>0</v>
      </c>
    </row>
    <row r="2837" spans="1:9" x14ac:dyDescent="0.25">
      <c r="A2837" t="s">
        <v>5251</v>
      </c>
      <c r="C2837" t="s">
        <v>4640</v>
      </c>
      <c r="D2837" t="s">
        <v>25</v>
      </c>
      <c r="H2837">
        <f t="shared" si="44"/>
        <v>0</v>
      </c>
    </row>
    <row r="2838" spans="1:9" x14ac:dyDescent="0.25">
      <c r="A2838" t="s">
        <v>5251</v>
      </c>
      <c r="C2838" t="s">
        <v>4641</v>
      </c>
      <c r="D2838" t="s">
        <v>25</v>
      </c>
      <c r="H2838">
        <f t="shared" si="44"/>
        <v>0</v>
      </c>
    </row>
    <row r="2839" spans="1:9" x14ac:dyDescent="0.25">
      <c r="A2839" t="s">
        <v>5251</v>
      </c>
      <c r="C2839" t="s">
        <v>4642</v>
      </c>
      <c r="D2839" t="s">
        <v>25</v>
      </c>
      <c r="H2839">
        <f t="shared" si="44"/>
        <v>0</v>
      </c>
    </row>
    <row r="2840" spans="1:9" x14ac:dyDescent="0.25">
      <c r="A2840" t="s">
        <v>5251</v>
      </c>
      <c r="C2840" t="s">
        <v>4643</v>
      </c>
      <c r="D2840" t="s">
        <v>25</v>
      </c>
      <c r="E2840" t="s">
        <v>4644</v>
      </c>
      <c r="H2840" t="str">
        <f t="shared" si="44"/>
        <v>Test_StartLoop &lt;loop name&gt; - Denote the start of a loop. Really just defines a named point you can jump to.</v>
      </c>
    </row>
    <row r="2841" spans="1:9" x14ac:dyDescent="0.25">
      <c r="A2841" t="s">
        <v>5251</v>
      </c>
      <c r="C2841" t="s">
        <v>4645</v>
      </c>
      <c r="D2841" t="s">
        <v>25</v>
      </c>
      <c r="E2841" t="s">
        <v>4646</v>
      </c>
      <c r="H2841" t="str">
        <f t="shared" si="44"/>
        <v>Start a test script running..</v>
      </c>
    </row>
    <row r="2842" spans="1:9" x14ac:dyDescent="0.25">
      <c r="A2842" t="s">
        <v>5251</v>
      </c>
      <c r="C2842" t="s">
        <v>4647</v>
      </c>
      <c r="D2842" t="s">
        <v>25</v>
      </c>
      <c r="H2842">
        <f t="shared" si="44"/>
        <v>0</v>
      </c>
    </row>
    <row r="2843" spans="1:9" x14ac:dyDescent="0.25">
      <c r="A2843" t="s">
        <v>5251</v>
      </c>
      <c r="C2843" t="s">
        <v>4648</v>
      </c>
      <c r="D2843" t="s">
        <v>25</v>
      </c>
      <c r="H2843">
        <f t="shared" si="44"/>
        <v>0</v>
      </c>
    </row>
    <row r="2844" spans="1:9" x14ac:dyDescent="0.25">
      <c r="A2844" t="s">
        <v>5251</v>
      </c>
      <c r="C2844" t="s">
        <v>4649</v>
      </c>
      <c r="D2844" t="s">
        <v>25</v>
      </c>
      <c r="E2844" t="s">
        <v>5230</v>
      </c>
      <c r="H2844" t="str">
        <f t="shared" si="44"/>
        <v>Test a hud element animation. 	Arguments: &lt;anim name&gt;</v>
      </c>
    </row>
    <row r="2845" spans="1:9" x14ac:dyDescent="0.25">
      <c r="A2845" t="s">
        <v>5251</v>
      </c>
      <c r="C2845" t="s">
        <v>4650</v>
      </c>
      <c r="D2845">
        <v>128</v>
      </c>
      <c r="E2845" t="s">
        <v>268</v>
      </c>
      <c r="H2845" t="str">
        <f t="shared" si="44"/>
        <v>how translucent the budget panel is</v>
      </c>
      <c r="I2845" t="s">
        <v>2</v>
      </c>
    </row>
    <row r="2846" spans="1:9" x14ac:dyDescent="0.25">
      <c r="A2846" t="s">
        <v>5251</v>
      </c>
      <c r="C2846" t="s">
        <v>4651</v>
      </c>
      <c r="D2846">
        <v>0</v>
      </c>
      <c r="E2846" t="s">
        <v>277</v>
      </c>
      <c r="H2846" t="str">
        <f t="shared" si="44"/>
        <v>number between 0 and 1</v>
      </c>
      <c r="I2846" t="s">
        <v>2</v>
      </c>
    </row>
    <row r="2847" spans="1:9" x14ac:dyDescent="0.25">
      <c r="A2847" t="s">
        <v>5251</v>
      </c>
      <c r="C2847" t="s">
        <v>4652</v>
      </c>
      <c r="D2847">
        <v>284</v>
      </c>
      <c r="E2847" t="s">
        <v>279</v>
      </c>
      <c r="H2847" t="str">
        <f t="shared" si="44"/>
        <v>height in pixels of the budget panel</v>
      </c>
      <c r="I2847" t="s">
        <v>2</v>
      </c>
    </row>
    <row r="2848" spans="1:9" x14ac:dyDescent="0.25">
      <c r="A2848" t="s">
        <v>5251</v>
      </c>
      <c r="C2848" t="s">
        <v>4653</v>
      </c>
      <c r="D2848">
        <v>512</v>
      </c>
      <c r="E2848" t="s">
        <v>281</v>
      </c>
      <c r="H2848" t="str">
        <f t="shared" si="44"/>
        <v>width in pixels of the budget panel</v>
      </c>
      <c r="I2848" t="s">
        <v>2</v>
      </c>
    </row>
    <row r="2849" spans="1:24" x14ac:dyDescent="0.25">
      <c r="A2849" t="s">
        <v>5251</v>
      </c>
      <c r="C2849" t="s">
        <v>4654</v>
      </c>
      <c r="D2849">
        <v>0</v>
      </c>
      <c r="E2849" t="s">
        <v>283</v>
      </c>
      <c r="H2849" t="str">
        <f t="shared" si="44"/>
        <v>number of pixels from the left side of the game screen to draw the budget panel</v>
      </c>
      <c r="I2849" t="s">
        <v>2</v>
      </c>
    </row>
    <row r="2850" spans="1:24" x14ac:dyDescent="0.25">
      <c r="A2850" t="s">
        <v>5251</v>
      </c>
      <c r="C2850" t="s">
        <v>4655</v>
      </c>
      <c r="D2850">
        <v>450</v>
      </c>
      <c r="E2850" t="s">
        <v>285</v>
      </c>
      <c r="H2850" t="str">
        <f t="shared" si="44"/>
        <v>number of pixels from the top side of the game screen to draw the budget panel</v>
      </c>
      <c r="I2850" t="s">
        <v>2</v>
      </c>
    </row>
    <row r="2851" spans="1:24" x14ac:dyDescent="0.25">
      <c r="A2851" t="s">
        <v>5251</v>
      </c>
      <c r="C2851" t="s">
        <v>4656</v>
      </c>
      <c r="D2851">
        <v>0</v>
      </c>
      <c r="E2851" t="s">
        <v>4657</v>
      </c>
      <c r="H2851" t="str">
        <f t="shared" si="44"/>
        <v>Maximum think time in milliseconds, warning is printed if this is exceeded.</v>
      </c>
      <c r="S2851" t="s">
        <v>12</v>
      </c>
      <c r="X2851" t="s">
        <v>17</v>
      </c>
    </row>
    <row r="2852" spans="1:24" x14ac:dyDescent="0.25">
      <c r="A2852" t="s">
        <v>5252</v>
      </c>
      <c r="C2852" t="s">
        <v>4658</v>
      </c>
      <c r="D2852" t="s">
        <v>25</v>
      </c>
      <c r="E2852" t="s">
        <v>4659</v>
      </c>
      <c r="H2852" t="str">
        <f t="shared" si="44"/>
        <v>Switch to thirdperson camera.</v>
      </c>
    </row>
    <row r="2853" spans="1:24" x14ac:dyDescent="0.25">
      <c r="A2853" t="s">
        <v>5252</v>
      </c>
      <c r="C2853" t="s">
        <v>4660</v>
      </c>
      <c r="D2853">
        <v>0</v>
      </c>
      <c r="H2853">
        <f t="shared" si="44"/>
        <v>0</v>
      </c>
      <c r="L2853" t="s">
        <v>5</v>
      </c>
      <c r="S2853" t="s">
        <v>12</v>
      </c>
      <c r="X2853" t="s">
        <v>17</v>
      </c>
    </row>
    <row r="2854" spans="1:24" x14ac:dyDescent="0.25">
      <c r="A2854" t="s">
        <v>5252</v>
      </c>
      <c r="C2854" t="s">
        <v>4661</v>
      </c>
      <c r="D2854" t="s">
        <v>25</v>
      </c>
      <c r="E2854" t="s">
        <v>4662</v>
      </c>
      <c r="H2854" t="str">
        <f t="shared" si="44"/>
        <v>Switch to thirdperson Maya-like camera controls.</v>
      </c>
    </row>
    <row r="2855" spans="1:24" x14ac:dyDescent="0.25">
      <c r="A2855" t="s">
        <v>5251</v>
      </c>
      <c r="C2855" t="s">
        <v>4663</v>
      </c>
      <c r="D2855" t="s">
        <v>25</v>
      </c>
      <c r="H2855">
        <f t="shared" si="44"/>
        <v>0</v>
      </c>
    </row>
    <row r="2856" spans="1:24" x14ac:dyDescent="0.25">
      <c r="A2856" t="s">
        <v>5251</v>
      </c>
      <c r="C2856" t="s">
        <v>4664</v>
      </c>
      <c r="D2856" t="s">
        <v>25</v>
      </c>
      <c r="H2856">
        <f t="shared" si="44"/>
        <v>0</v>
      </c>
    </row>
    <row r="2857" spans="1:24" x14ac:dyDescent="0.25">
      <c r="A2857" t="s">
        <v>5251</v>
      </c>
      <c r="C2857" t="s">
        <v>4665</v>
      </c>
      <c r="D2857" t="s">
        <v>25</v>
      </c>
      <c r="E2857" t="s">
        <v>4666</v>
      </c>
      <c r="H2857" t="str">
        <f t="shared" si="44"/>
        <v>Cycles threadpool reservation by powers of 2</v>
      </c>
    </row>
    <row r="2858" spans="1:24" x14ac:dyDescent="0.25">
      <c r="A2858" t="s">
        <v>5251</v>
      </c>
      <c r="C2858" t="s">
        <v>4667</v>
      </c>
      <c r="D2858" t="s">
        <v>25</v>
      </c>
      <c r="H2858">
        <f t="shared" si="44"/>
        <v>0</v>
      </c>
    </row>
    <row r="2859" spans="1:24" x14ac:dyDescent="0.25">
      <c r="A2859" t="s">
        <v>5251</v>
      </c>
      <c r="C2859" t="s">
        <v>4668</v>
      </c>
      <c r="D2859" t="s">
        <v>25</v>
      </c>
      <c r="E2859" t="s">
        <v>4669</v>
      </c>
      <c r="H2859" t="str">
        <f t="shared" si="44"/>
        <v>Play a demo and report performance info.</v>
      </c>
    </row>
    <row r="2860" spans="1:24" x14ac:dyDescent="0.25">
      <c r="A2860" t="s">
        <v>5251</v>
      </c>
      <c r="C2860" t="s">
        <v>4670</v>
      </c>
      <c r="D2860" t="s">
        <v>25</v>
      </c>
      <c r="E2860" t="s">
        <v>4671</v>
      </c>
      <c r="H2860" t="str">
        <f t="shared" si="44"/>
        <v>Play a demo and report performance info.  Also record vprof data for the span of the demo</v>
      </c>
    </row>
    <row r="2861" spans="1:24" x14ac:dyDescent="0.25">
      <c r="A2861" t="s">
        <v>5251</v>
      </c>
      <c r="C2861" t="s">
        <v>4672</v>
      </c>
      <c r="D2861" t="s">
        <v>25</v>
      </c>
      <c r="E2861" t="s">
        <v>4673</v>
      </c>
      <c r="H2861" t="str">
        <f t="shared" si="44"/>
        <v>Play a demo, report performance info, and then exit</v>
      </c>
    </row>
    <row r="2862" spans="1:24" x14ac:dyDescent="0.25">
      <c r="A2862" t="s">
        <v>5253</v>
      </c>
      <c r="C2862" t="s">
        <v>4674</v>
      </c>
      <c r="D2862" t="s">
        <v>25</v>
      </c>
      <c r="E2862" t="s">
        <v>4675</v>
      </c>
      <c r="H2862" t="str">
        <f t="shared" si="44"/>
        <v>prints the time remaining in the match</v>
      </c>
    </row>
    <row r="2863" spans="1:24" x14ac:dyDescent="0.25">
      <c r="A2863" t="s">
        <v>5252</v>
      </c>
      <c r="C2863" t="s">
        <v>4676</v>
      </c>
      <c r="D2863" t="s">
        <v>25</v>
      </c>
      <c r="H2863">
        <f t="shared" si="44"/>
        <v>0</v>
      </c>
    </row>
    <row r="2864" spans="1:24" x14ac:dyDescent="0.25">
      <c r="A2864" t="s">
        <v>5252</v>
      </c>
      <c r="C2864" t="s">
        <v>4677</v>
      </c>
      <c r="D2864" t="s">
        <v>25</v>
      </c>
      <c r="H2864">
        <f t="shared" si="44"/>
        <v>0</v>
      </c>
    </row>
    <row r="2865" spans="1:24" x14ac:dyDescent="0.25">
      <c r="A2865" t="s">
        <v>5251</v>
      </c>
      <c r="C2865" t="s">
        <v>4678</v>
      </c>
      <c r="D2865" t="s">
        <v>25</v>
      </c>
      <c r="E2865" t="s">
        <v>4679</v>
      </c>
      <c r="H2865" t="str">
        <f t="shared" si="44"/>
        <v>Profile the renderer.</v>
      </c>
    </row>
    <row r="2866" spans="1:24" x14ac:dyDescent="0.25">
      <c r="A2866" t="s">
        <v>5253</v>
      </c>
      <c r="C2866" t="s">
        <v>4680</v>
      </c>
      <c r="D2866" t="s">
        <v>25</v>
      </c>
      <c r="E2866" t="s">
        <v>4681</v>
      </c>
      <c r="H2866" t="str">
        <f t="shared" si="44"/>
        <v>Toggles a convar on or off, or cycles through a set of values.</v>
      </c>
    </row>
    <row r="2867" spans="1:24" x14ac:dyDescent="0.25">
      <c r="A2867" t="s">
        <v>5253</v>
      </c>
      <c r="C2867" t="s">
        <v>4682</v>
      </c>
      <c r="D2867" t="s">
        <v>25</v>
      </c>
      <c r="H2867">
        <f t="shared" si="44"/>
        <v>0</v>
      </c>
    </row>
    <row r="2868" spans="1:24" x14ac:dyDescent="0.25">
      <c r="A2868" t="s">
        <v>5253</v>
      </c>
      <c r="C2868" t="s">
        <v>4683</v>
      </c>
      <c r="D2868" t="s">
        <v>25</v>
      </c>
      <c r="E2868" t="s">
        <v>4684</v>
      </c>
      <c r="H2868" t="str">
        <f t="shared" si="44"/>
        <v>Show/hide the console.</v>
      </c>
    </row>
    <row r="2869" spans="1:24" x14ac:dyDescent="0.25">
      <c r="A2869" t="s">
        <v>5251</v>
      </c>
      <c r="C2869" t="s">
        <v>4685</v>
      </c>
      <c r="D2869" t="s">
        <v>25</v>
      </c>
      <c r="E2869" t="s">
        <v>4685</v>
      </c>
      <c r="H2869" t="str">
        <f t="shared" si="44"/>
        <v>toggleLmapPath</v>
      </c>
    </row>
    <row r="2870" spans="1:24" x14ac:dyDescent="0.25">
      <c r="A2870" t="s">
        <v>5253</v>
      </c>
      <c r="C2870" t="s">
        <v>4686</v>
      </c>
      <c r="D2870" t="s">
        <v>25</v>
      </c>
      <c r="E2870" t="s">
        <v>4687</v>
      </c>
      <c r="H2870" t="str">
        <f t="shared" si="44"/>
        <v>Toggles score panel</v>
      </c>
    </row>
    <row r="2871" spans="1:24" x14ac:dyDescent="0.25">
      <c r="A2871" t="s">
        <v>5251</v>
      </c>
      <c r="C2871" t="s">
        <v>4688</v>
      </c>
      <c r="D2871" t="s">
        <v>25</v>
      </c>
      <c r="E2871" t="s">
        <v>4689</v>
      </c>
      <c r="H2871" t="str">
        <f t="shared" si="44"/>
        <v>Toggles CSM generation method</v>
      </c>
    </row>
    <row r="2872" spans="1:24" x14ac:dyDescent="0.25">
      <c r="A2872" t="s">
        <v>5251</v>
      </c>
      <c r="C2872" t="s">
        <v>4690</v>
      </c>
      <c r="D2872" t="s">
        <v>25</v>
      </c>
      <c r="E2872" t="s">
        <v>4690</v>
      </c>
      <c r="H2872" t="str">
        <f t="shared" si="44"/>
        <v>toggleUnlitPath</v>
      </c>
    </row>
    <row r="2873" spans="1:24" x14ac:dyDescent="0.25">
      <c r="A2873" t="s">
        <v>5251</v>
      </c>
      <c r="C2873" t="s">
        <v>4691</v>
      </c>
      <c r="D2873" t="s">
        <v>25</v>
      </c>
      <c r="E2873" t="s">
        <v>4691</v>
      </c>
      <c r="H2873" t="str">
        <f t="shared" si="44"/>
        <v>toggleVtxLitPath</v>
      </c>
    </row>
    <row r="2874" spans="1:24" x14ac:dyDescent="0.25">
      <c r="A2874" t="s">
        <v>5251</v>
      </c>
      <c r="C2874" t="s">
        <v>4692</v>
      </c>
      <c r="D2874" t="s">
        <v>25</v>
      </c>
      <c r="E2874" t="s">
        <v>4693</v>
      </c>
      <c r="H2874" t="str">
        <f t="shared" si="44"/>
        <v>Load a tool.</v>
      </c>
    </row>
    <row r="2875" spans="1:24" x14ac:dyDescent="0.25">
      <c r="A2875" t="s">
        <v>5251</v>
      </c>
      <c r="C2875" t="s">
        <v>4694</v>
      </c>
      <c r="D2875" t="s">
        <v>25</v>
      </c>
      <c r="E2875" t="s">
        <v>4695</v>
      </c>
      <c r="H2875" t="str">
        <f t="shared" si="44"/>
        <v>Unload a tool.</v>
      </c>
    </row>
    <row r="2876" spans="1:24" x14ac:dyDescent="0.25">
      <c r="A2876" t="s">
        <v>5251</v>
      </c>
      <c r="C2876" t="s">
        <v>4696</v>
      </c>
      <c r="D2876" t="s">
        <v>25</v>
      </c>
      <c r="E2876" t="s">
        <v>4697</v>
      </c>
      <c r="H2876" t="str">
        <f t="shared" si="44"/>
        <v>traceattack damage hitgroup</v>
      </c>
    </row>
    <row r="2877" spans="1:24" x14ac:dyDescent="0.25">
      <c r="A2877" t="s">
        <v>5251</v>
      </c>
      <c r="C2877" t="s">
        <v>4698</v>
      </c>
      <c r="D2877">
        <v>0</v>
      </c>
      <c r="E2877" t="s">
        <v>4699</v>
      </c>
      <c r="H2877" t="str">
        <f t="shared" si="44"/>
        <v>Enable triple-monitor mode, restricting UI elements to the middle third of the display</v>
      </c>
      <c r="I2877" t="s">
        <v>2</v>
      </c>
      <c r="X2877" t="s">
        <v>17</v>
      </c>
    </row>
    <row r="2878" spans="1:24" x14ac:dyDescent="0.25">
      <c r="A2878" t="s">
        <v>5251</v>
      </c>
      <c r="C2878" t="s">
        <v>4700</v>
      </c>
      <c r="D2878">
        <v>1</v>
      </c>
      <c r="E2878" t="s">
        <v>4701</v>
      </c>
      <c r="H2878" t="str">
        <f t="shared" si="44"/>
        <v>Trusted launch status</v>
      </c>
      <c r="I2878" t="s">
        <v>2</v>
      </c>
      <c r="X2878" t="s">
        <v>17</v>
      </c>
    </row>
    <row r="2879" spans="1:24" x14ac:dyDescent="0.25">
      <c r="A2879" t="s">
        <v>5251</v>
      </c>
      <c r="C2879" t="s">
        <v>4702</v>
      </c>
      <c r="D2879" t="s">
        <v>25</v>
      </c>
      <c r="E2879" t="s">
        <v>4703</v>
      </c>
      <c r="H2879" t="str">
        <f t="shared" si="44"/>
        <v>Present information about trusted launch to console</v>
      </c>
    </row>
    <row r="2880" spans="1:24" x14ac:dyDescent="0.25">
      <c r="A2880" t="s">
        <v>5251</v>
      </c>
      <c r="C2880" t="s">
        <v>4704</v>
      </c>
      <c r="D2880">
        <v>0</v>
      </c>
      <c r="E2880" t="s">
        <v>4705</v>
      </c>
      <c r="H2880" t="str">
        <f t="shared" si="44"/>
        <v>Trusted launch shown once</v>
      </c>
      <c r="I2880" t="s">
        <v>2</v>
      </c>
      <c r="X2880" t="s">
        <v>17</v>
      </c>
    </row>
    <row r="2881" spans="1:21" x14ac:dyDescent="0.25">
      <c r="A2881" t="s">
        <v>5251</v>
      </c>
      <c r="C2881" t="s">
        <v>4706</v>
      </c>
      <c r="D2881">
        <v>0</v>
      </c>
      <c r="E2881" t="s">
        <v>4707</v>
      </c>
      <c r="H2881" t="str">
        <f t="shared" si="44"/>
        <v>GOTV advertises the match as watchable via game UI, clients watching via UI will not need to type password</v>
      </c>
      <c r="N2881" t="s">
        <v>7</v>
      </c>
      <c r="O2881" t="s">
        <v>8</v>
      </c>
      <c r="U2881" t="s">
        <v>14</v>
      </c>
    </row>
    <row r="2882" spans="1:21" x14ac:dyDescent="0.25">
      <c r="A2882" t="s">
        <v>5251</v>
      </c>
      <c r="C2882" t="s">
        <v>4708</v>
      </c>
      <c r="D2882">
        <v>-1</v>
      </c>
      <c r="E2882" t="s">
        <v>4709</v>
      </c>
      <c r="H2882" t="str">
        <f t="shared" si="44"/>
        <v>When &gt;=0 restricts autorecording only to the specified TV index</v>
      </c>
      <c r="K2882" t="s">
        <v>4</v>
      </c>
    </row>
    <row r="2883" spans="1:21" x14ac:dyDescent="0.25">
      <c r="A2883" t="s">
        <v>5251</v>
      </c>
      <c r="C2883" t="s">
        <v>4710</v>
      </c>
      <c r="D2883">
        <v>0</v>
      </c>
      <c r="E2883" t="s">
        <v>4711</v>
      </c>
      <c r="H2883" t="str">
        <f t="shared" ref="H2883:H2946" si="45">IF(F2883="",E2883, F2883 &amp; " - Original Helptext: " &amp;E2883)</f>
        <v>Allows cameraman_override to have effect. When this is set, the primary interactive caster will have all the relevant fields pr</v>
      </c>
    </row>
    <row r="2884" spans="1:21" x14ac:dyDescent="0.25">
      <c r="A2884" t="s">
        <v>5251</v>
      </c>
      <c r="C2884" t="s">
        <v>4712</v>
      </c>
      <c r="D2884">
        <v>0</v>
      </c>
      <c r="E2884" t="s">
        <v>4713</v>
      </c>
      <c r="H2884" t="str">
        <f t="shared" si="45"/>
        <v>Allows tournament production cameraman to run csgo.exe -interactivecaster on SteamID 7650123456XXX and be the camera man.</v>
      </c>
      <c r="K2884" t="s">
        <v>4</v>
      </c>
    </row>
    <row r="2885" spans="1:21" x14ac:dyDescent="0.25">
      <c r="A2885" t="s">
        <v>5251</v>
      </c>
      <c r="C2885" t="s">
        <v>4714</v>
      </c>
      <c r="D2885">
        <v>0</v>
      </c>
      <c r="E2885" t="s">
        <v>4715</v>
      </c>
      <c r="H2885" t="str">
        <f t="shared" si="45"/>
        <v>Allows tournament production tv cameraman to run csgo.exe -interactivecaster on SteamID 7650123456XXX and be the tv camera man.</v>
      </c>
      <c r="K2885" t="s">
        <v>4</v>
      </c>
    </row>
    <row r="2886" spans="1:21" x14ac:dyDescent="0.25">
      <c r="A2886" t="s">
        <v>5251</v>
      </c>
      <c r="C2886" t="s">
        <v>4716</v>
      </c>
      <c r="D2886">
        <v>1</v>
      </c>
      <c r="E2886" t="s">
        <v>4717</v>
      </c>
      <c r="H2886" t="str">
        <f t="shared" si="45"/>
        <v>Auto director uses fixed level cameras for shots</v>
      </c>
      <c r="K2886" t="s">
        <v>4</v>
      </c>
    </row>
    <row r="2887" spans="1:21" x14ac:dyDescent="0.25">
      <c r="A2887" t="s">
        <v>5251</v>
      </c>
      <c r="C2887" t="s">
        <v>4718</v>
      </c>
      <c r="D2887">
        <v>0</v>
      </c>
      <c r="E2887" t="s">
        <v>4719</v>
      </c>
      <c r="H2887" t="str">
        <f t="shared" si="45"/>
        <v>Automatically records all games as GOTV demos.</v>
      </c>
    </row>
    <row r="2888" spans="1:21" x14ac:dyDescent="0.25">
      <c r="A2888" t="s">
        <v>5251</v>
      </c>
      <c r="C2888" t="s">
        <v>4720</v>
      </c>
      <c r="D2888">
        <v>1</v>
      </c>
      <c r="E2888" t="s">
        <v>4721</v>
      </c>
      <c r="H2888" t="str">
        <f t="shared" si="45"/>
        <v>Relay proxies retry connection after network timeout</v>
      </c>
    </row>
    <row r="2889" spans="1:21" x14ac:dyDescent="0.25">
      <c r="A2889" t="s">
        <v>5251</v>
      </c>
      <c r="C2889" t="s">
        <v>4722</v>
      </c>
      <c r="D2889">
        <v>0</v>
      </c>
      <c r="E2889" t="s">
        <v>4723</v>
      </c>
      <c r="H2889" t="str">
        <f t="shared" si="45"/>
        <v>Automatically broadcasts all games as GOTV demos through Steam.</v>
      </c>
    </row>
    <row r="2890" spans="1:21" x14ac:dyDescent="0.25">
      <c r="A2890" t="s">
        <v>5251</v>
      </c>
      <c r="C2890" t="s">
        <v>4724</v>
      </c>
      <c r="D2890">
        <v>0</v>
      </c>
      <c r="E2890" t="s">
        <v>4725</v>
      </c>
      <c r="H2890" t="str">
        <f t="shared" si="45"/>
        <v>Automatically broadcasts all games as GOTV[1] demos through Steam.</v>
      </c>
    </row>
    <row r="2891" spans="1:21" x14ac:dyDescent="0.25">
      <c r="A2891" t="s">
        <v>5251</v>
      </c>
      <c r="C2891" t="s">
        <v>4726</v>
      </c>
      <c r="D2891">
        <v>3</v>
      </c>
      <c r="E2891" t="s">
        <v>4727</v>
      </c>
      <c r="H2891" t="str">
        <f t="shared" si="45"/>
        <v>The frequency, in seconds, of sending keyframes and delta fragments to the broadcast relay server</v>
      </c>
    </row>
    <row r="2892" spans="1:21" x14ac:dyDescent="0.25">
      <c r="A2892" t="s">
        <v>5251</v>
      </c>
      <c r="C2892" t="s">
        <v>4728</v>
      </c>
      <c r="D2892">
        <v>3</v>
      </c>
      <c r="E2892" t="s">
        <v>4729</v>
      </c>
      <c r="H2892" t="str">
        <f t="shared" si="45"/>
        <v>The frequency, in seconds, of sending keyframes and delta fragments to the broadcast1 relay server</v>
      </c>
    </row>
    <row r="2893" spans="1:21" x14ac:dyDescent="0.25">
      <c r="A2893" t="s">
        <v>5251</v>
      </c>
      <c r="C2893" t="s">
        <v>4730</v>
      </c>
      <c r="D2893">
        <v>20</v>
      </c>
      <c r="E2893" t="s">
        <v>4731</v>
      </c>
      <c r="H2893" t="str">
        <f t="shared" si="45"/>
        <v>Max number of broadcast http requests in flight. If there is a network issue, the requests may start piling up, degrading serve</v>
      </c>
    </row>
    <row r="2894" spans="1:21" x14ac:dyDescent="0.25">
      <c r="A2894" t="s">
        <v>5251</v>
      </c>
      <c r="C2894" t="s">
        <v>4732</v>
      </c>
      <c r="D2894">
        <v>20</v>
      </c>
      <c r="E2894" t="s">
        <v>4733</v>
      </c>
      <c r="H2894" t="str">
        <f t="shared" si="45"/>
        <v>Max number of broadcast1 http requests in flight. If there is a network issue, the requests may start piling up, degrading serv</v>
      </c>
    </row>
    <row r="2895" spans="1:21" x14ac:dyDescent="0.25">
      <c r="A2895" t="s">
        <v>5251</v>
      </c>
      <c r="C2895" t="s">
        <v>4734</v>
      </c>
      <c r="D2895" t="s">
        <v>25</v>
      </c>
      <c r="E2895" t="s">
        <v>4735</v>
      </c>
      <c r="H2895" t="str">
        <f t="shared" si="45"/>
        <v>resend broadcast data to broadcast relay</v>
      </c>
    </row>
    <row r="2896" spans="1:21" x14ac:dyDescent="0.25">
      <c r="A2896" t="s">
        <v>5251</v>
      </c>
      <c r="C2896" t="s">
        <v>4736</v>
      </c>
      <c r="D2896">
        <v>512</v>
      </c>
      <c r="E2896" t="s">
        <v>4737</v>
      </c>
      <c r="H2896" t="str">
        <f t="shared" si="45"/>
        <v>The size, in KB, of the server info message size for tv broadcasts.</v>
      </c>
    </row>
    <row r="2897" spans="1:14" x14ac:dyDescent="0.25">
      <c r="A2897" t="s">
        <v>5251</v>
      </c>
      <c r="C2897" t="s">
        <v>4738</v>
      </c>
      <c r="D2897">
        <v>10</v>
      </c>
      <c r="E2897" t="s">
        <v>4739</v>
      </c>
      <c r="H2897" t="str">
        <f t="shared" si="45"/>
        <v>The interval, in seconds, of re-sending startup data to the broadcast relay server (useful in case relay crashes, restarts or s</v>
      </c>
    </row>
    <row r="2898" spans="1:14" x14ac:dyDescent="0.25">
      <c r="A2898" t="s">
        <v>5251</v>
      </c>
      <c r="C2898" t="s">
        <v>4740</v>
      </c>
      <c r="D2898" t="s">
        <v>25</v>
      </c>
      <c r="E2898" t="s">
        <v>4741</v>
      </c>
      <c r="H2898" t="str">
        <f t="shared" si="45"/>
        <v>Print out broadcast status</v>
      </c>
    </row>
    <row r="2899" spans="1:14" x14ac:dyDescent="0.25">
      <c r="A2899" t="s">
        <v>5251</v>
      </c>
      <c r="C2899" t="s">
        <v>4742</v>
      </c>
      <c r="D2899">
        <v>0</v>
      </c>
      <c r="E2899" t="s">
        <v>4743</v>
      </c>
      <c r="H2899" t="str">
        <f t="shared" si="45"/>
        <v>URL of the broadcast relay</v>
      </c>
    </row>
    <row r="2900" spans="1:14" x14ac:dyDescent="0.25">
      <c r="A2900" t="s">
        <v>5251</v>
      </c>
      <c r="C2900" t="s">
        <v>4744</v>
      </c>
      <c r="D2900">
        <v>0</v>
      </c>
      <c r="E2900" t="s">
        <v>4745</v>
      </c>
      <c r="H2900" t="str">
        <f t="shared" si="45"/>
        <v>URL of the broadcast relay1</v>
      </c>
    </row>
    <row r="2901" spans="1:14" x14ac:dyDescent="0.25">
      <c r="A2901" t="s">
        <v>5251</v>
      </c>
      <c r="C2901" t="s">
        <v>4746</v>
      </c>
      <c r="D2901">
        <v>0</v>
      </c>
      <c r="E2901" t="s">
        <v>4747</v>
      </c>
      <c r="H2901" t="str">
        <f t="shared" si="45"/>
        <v>Comma-separated IP ranges which require Steam3 challenge protocol even for GOTV connections</v>
      </c>
    </row>
    <row r="2902" spans="1:14" x14ac:dyDescent="0.25">
      <c r="A2902" t="s">
        <v>5251</v>
      </c>
      <c r="C2902" t="s">
        <v>4748</v>
      </c>
      <c r="D2902">
        <v>0</v>
      </c>
      <c r="E2902" t="s">
        <v>4749</v>
      </c>
      <c r="H2902" t="str">
        <f t="shared" si="45"/>
        <v>Set the default chat group size</v>
      </c>
    </row>
    <row r="2903" spans="1:14" x14ac:dyDescent="0.25">
      <c r="A2903" t="s">
        <v>5251</v>
      </c>
      <c r="C2903" t="s">
        <v>4750</v>
      </c>
      <c r="D2903">
        <v>8</v>
      </c>
      <c r="E2903" t="s">
        <v>4751</v>
      </c>
      <c r="H2903" t="str">
        <f t="shared" si="45"/>
        <v>Limits spectators to chat only every n seconds</v>
      </c>
    </row>
    <row r="2904" spans="1:14" x14ac:dyDescent="0.25">
      <c r="A2904" t="s">
        <v>5251</v>
      </c>
      <c r="C2904" t="s">
        <v>4752</v>
      </c>
      <c r="D2904" t="s">
        <v>25</v>
      </c>
      <c r="E2904" t="s">
        <v>4753</v>
      </c>
      <c r="H2904" t="str">
        <f t="shared" si="45"/>
        <v>Shows list of connected GOTV clients [-instance &lt;inst&gt; ]</v>
      </c>
    </row>
    <row r="2905" spans="1:14" x14ac:dyDescent="0.25">
      <c r="A2905" t="s">
        <v>5251</v>
      </c>
      <c r="C2905" t="s">
        <v>4754</v>
      </c>
      <c r="D2905">
        <v>0</v>
      </c>
      <c r="E2905" t="s">
        <v>4755</v>
      </c>
      <c r="H2905" t="str">
        <f t="shared" si="45"/>
        <v>GOTV debug info.</v>
      </c>
    </row>
    <row r="2906" spans="1:14" x14ac:dyDescent="0.25">
      <c r="A2906" t="s">
        <v>5251</v>
      </c>
      <c r="C2906" t="s">
        <v>4756</v>
      </c>
      <c r="D2906">
        <v>10</v>
      </c>
      <c r="E2906" t="s">
        <v>4757</v>
      </c>
      <c r="H2906" t="str">
        <f t="shared" si="45"/>
        <v>GOTV broadcast delay in seconds</v>
      </c>
      <c r="K2906" t="s">
        <v>4</v>
      </c>
    </row>
    <row r="2907" spans="1:14" x14ac:dyDescent="0.25">
      <c r="A2907" t="s">
        <v>5251</v>
      </c>
      <c r="C2907" t="s">
        <v>4758</v>
      </c>
      <c r="D2907">
        <v>15</v>
      </c>
      <c r="E2907" t="s">
        <v>4759</v>
      </c>
      <c r="H2907" t="str">
        <f t="shared" si="45"/>
        <v>GOTV[instance 1] broadcast delay in seconds</v>
      </c>
      <c r="K2907" t="s">
        <v>4</v>
      </c>
    </row>
    <row r="2908" spans="1:14" x14ac:dyDescent="0.25">
      <c r="A2908" t="s">
        <v>5251</v>
      </c>
      <c r="C2908" t="s">
        <v>4760</v>
      </c>
      <c r="D2908">
        <v>1</v>
      </c>
      <c r="E2908" t="s">
        <v>4761</v>
      </c>
      <c r="H2908" t="str">
        <f t="shared" si="45"/>
        <v>Delays map change until broadcast is complete</v>
      </c>
      <c r="K2908" t="s">
        <v>4</v>
      </c>
    </row>
    <row r="2909" spans="1:14" x14ac:dyDescent="0.25">
      <c r="A2909" t="s">
        <v>5251</v>
      </c>
      <c r="C2909" t="s">
        <v>4762</v>
      </c>
      <c r="D2909">
        <v>2</v>
      </c>
      <c r="E2909" t="s">
        <v>4763</v>
      </c>
      <c r="H2909" t="str">
        <f t="shared" si="45"/>
        <v>Enable delta entity bit stream cache</v>
      </c>
    </row>
    <row r="2910" spans="1:14" x14ac:dyDescent="0.25">
      <c r="A2910" t="s">
        <v>5251</v>
      </c>
      <c r="C2910" t="s">
        <v>4764</v>
      </c>
      <c r="D2910">
        <v>1</v>
      </c>
      <c r="E2910" t="s">
        <v>4765</v>
      </c>
      <c r="H2910" t="str">
        <f t="shared" si="45"/>
        <v>Dispatch clients to relay proxies: 0=never, 1=if appropriate, 2=always</v>
      </c>
    </row>
    <row r="2911" spans="1:14" x14ac:dyDescent="0.25">
      <c r="A2911" t="s">
        <v>5251</v>
      </c>
      <c r="C2911" t="s">
        <v>4766</v>
      </c>
      <c r="D2911">
        <v>1</v>
      </c>
      <c r="E2911" t="s">
        <v>4767</v>
      </c>
      <c r="H2911" t="str">
        <f t="shared" si="45"/>
        <v>Dispatch clients to relay proxies based on load, 1.25 will prefer for every 4 local clients to put 5 clients on every connected</v>
      </c>
    </row>
    <row r="2912" spans="1:14" x14ac:dyDescent="0.25">
      <c r="A2912" t="s">
        <v>5251</v>
      </c>
      <c r="C2912" t="s">
        <v>4768</v>
      </c>
      <c r="D2912">
        <v>0</v>
      </c>
      <c r="E2912" t="s">
        <v>4769</v>
      </c>
      <c r="F2912" t="s">
        <v>5501</v>
      </c>
      <c r="G2912" t="s">
        <v>5253</v>
      </c>
      <c r="H2912" t="str">
        <f t="shared" si="45"/>
        <v>Required for kill cam. - Original Helptext: Activates GOTV on server (0=off;1=on;2=on when reserved)</v>
      </c>
      <c r="N2912" t="s">
        <v>7</v>
      </c>
    </row>
    <row r="2913" spans="1:21" x14ac:dyDescent="0.25">
      <c r="A2913" t="s">
        <v>5251</v>
      </c>
      <c r="C2913" t="s">
        <v>4770</v>
      </c>
      <c r="D2913">
        <v>0</v>
      </c>
      <c r="E2913" t="s">
        <v>4771</v>
      </c>
      <c r="H2913" t="str">
        <f t="shared" si="45"/>
        <v>Activates GOTV[1] on server (0=off;1=on;2=on when reserved)</v>
      </c>
      <c r="N2913" t="s">
        <v>7</v>
      </c>
    </row>
    <row r="2914" spans="1:21" x14ac:dyDescent="0.25">
      <c r="A2914" t="s">
        <v>5251</v>
      </c>
      <c r="C2914" t="s">
        <v>4772</v>
      </c>
      <c r="D2914">
        <v>1</v>
      </c>
      <c r="E2914" t="s">
        <v>4773</v>
      </c>
      <c r="H2914" t="str">
        <f t="shared" si="45"/>
        <v>Indicates whether or not the tv should use delta frames for storage of intermediate frames. This takes more CPU but significant</v>
      </c>
    </row>
    <row r="2915" spans="1:21" x14ac:dyDescent="0.25">
      <c r="A2915" t="s">
        <v>5251</v>
      </c>
      <c r="C2915" t="s">
        <v>4774</v>
      </c>
      <c r="D2915">
        <v>0</v>
      </c>
      <c r="E2915" t="s">
        <v>4775</v>
      </c>
      <c r="H2915" t="str">
        <f t="shared" si="45"/>
        <v>When set to a valid key communication messages will be encrypted for GOTV</v>
      </c>
    </row>
    <row r="2916" spans="1:21" x14ac:dyDescent="0.25">
      <c r="A2916" t="s">
        <v>5251</v>
      </c>
      <c r="C2916" t="s">
        <v>4776</v>
      </c>
      <c r="D2916">
        <v>0</v>
      </c>
      <c r="E2916" t="s">
        <v>4777</v>
      </c>
      <c r="H2916" t="str">
        <f t="shared" si="45"/>
        <v>When set to a valid key public communication messages will be encrypted for GOTV</v>
      </c>
    </row>
    <row r="2917" spans="1:21" x14ac:dyDescent="0.25">
      <c r="A2917" t="s">
        <v>5251</v>
      </c>
      <c r="C2917" t="s">
        <v>4778</v>
      </c>
      <c r="D2917">
        <v>128</v>
      </c>
      <c r="E2917" t="s">
        <v>4779</v>
      </c>
      <c r="H2917" t="str">
        <f t="shared" si="45"/>
        <v>Maximum client number on GOTV server.</v>
      </c>
    </row>
    <row r="2918" spans="1:21" x14ac:dyDescent="0.25">
      <c r="A2918" t="s">
        <v>5251</v>
      </c>
      <c r="C2918" t="s">
        <v>4780</v>
      </c>
      <c r="D2918">
        <v>0</v>
      </c>
      <c r="E2918" t="s">
        <v>4781</v>
      </c>
      <c r="H2918" t="str">
        <f t="shared" si="45"/>
        <v>Reserves a certain number of GOTV client slots for relays.</v>
      </c>
    </row>
    <row r="2919" spans="1:21" x14ac:dyDescent="0.25">
      <c r="A2919" t="s">
        <v>5251</v>
      </c>
      <c r="C2919" t="s">
        <v>4782</v>
      </c>
      <c r="D2919">
        <v>196608</v>
      </c>
      <c r="E2919" t="s">
        <v>4783</v>
      </c>
      <c r="H2919" t="str">
        <f t="shared" si="45"/>
        <v>Max GOTV spectator bandwidth rate allowed, 0 == unlimited</v>
      </c>
    </row>
    <row r="2920" spans="1:21" x14ac:dyDescent="0.25">
      <c r="A2920" t="s">
        <v>5251</v>
      </c>
      <c r="C2920" t="s">
        <v>4784</v>
      </c>
      <c r="D2920" t="s">
        <v>25</v>
      </c>
      <c r="E2920" t="s">
        <v>4785</v>
      </c>
      <c r="H2920" t="str">
        <f t="shared" si="45"/>
        <v>hltv memory statistics</v>
      </c>
    </row>
    <row r="2921" spans="1:21" x14ac:dyDescent="0.25">
      <c r="A2921" t="s">
        <v>5251</v>
      </c>
      <c r="C2921" t="s">
        <v>4786</v>
      </c>
      <c r="D2921" t="s">
        <v>25</v>
      </c>
      <c r="E2921" t="s">
        <v>4787</v>
      </c>
      <c r="H2921" t="str">
        <f t="shared" si="45"/>
        <v>Send a screen message to all clients [-instance &lt;inst&gt; ]</v>
      </c>
    </row>
    <row r="2922" spans="1:21" x14ac:dyDescent="0.25">
      <c r="A2922" t="s">
        <v>5251</v>
      </c>
      <c r="C2922" t="s">
        <v>4788</v>
      </c>
      <c r="D2922">
        <v>0</v>
      </c>
      <c r="E2922" t="s">
        <v>4789</v>
      </c>
      <c r="H2922" t="str">
        <f t="shared" si="45"/>
        <v>GOTV host name</v>
      </c>
    </row>
    <row r="2923" spans="1:21" x14ac:dyDescent="0.25">
      <c r="A2923" t="s">
        <v>5251</v>
      </c>
      <c r="C2923" t="s">
        <v>4790</v>
      </c>
      <c r="D2923">
        <v>0</v>
      </c>
      <c r="E2923" t="s">
        <v>4791</v>
      </c>
      <c r="H2923" t="str">
        <f t="shared" si="45"/>
        <v>Don't receive chat messages from other GOTV spectators</v>
      </c>
      <c r="I2923" t="s">
        <v>2</v>
      </c>
      <c r="M2923" t="s">
        <v>6</v>
      </c>
    </row>
    <row r="2924" spans="1:21" x14ac:dyDescent="0.25">
      <c r="A2924" t="s">
        <v>5251</v>
      </c>
      <c r="C2924" t="s">
        <v>4792</v>
      </c>
      <c r="D2924">
        <v>0</v>
      </c>
      <c r="E2924" t="s">
        <v>4793</v>
      </c>
      <c r="H2924" t="str">
        <f t="shared" si="45"/>
        <v>Overrides the GOTV master root address.</v>
      </c>
    </row>
    <row r="2925" spans="1:21" x14ac:dyDescent="0.25">
      <c r="A2925" t="s">
        <v>5251</v>
      </c>
      <c r="C2925" t="s">
        <v>4794</v>
      </c>
      <c r="D2925">
        <v>0</v>
      </c>
      <c r="E2925" t="s">
        <v>4795</v>
      </c>
      <c r="H2925" t="str">
        <f t="shared" si="45"/>
        <v>GOTV password for all clients</v>
      </c>
      <c r="N2925" t="s">
        <v>7</v>
      </c>
      <c r="O2925" t="s">
        <v>8</v>
      </c>
      <c r="U2925" t="s">
        <v>14</v>
      </c>
    </row>
    <row r="2926" spans="1:21" x14ac:dyDescent="0.25">
      <c r="A2926" t="s">
        <v>5251</v>
      </c>
      <c r="C2926" t="s">
        <v>4796</v>
      </c>
      <c r="D2926">
        <v>1</v>
      </c>
      <c r="H2926">
        <f t="shared" si="45"/>
        <v>0</v>
      </c>
    </row>
    <row r="2927" spans="1:21" x14ac:dyDescent="0.25">
      <c r="A2927" t="s">
        <v>5251</v>
      </c>
      <c r="C2927" t="s">
        <v>4797</v>
      </c>
      <c r="D2927">
        <v>0</v>
      </c>
      <c r="E2927" t="s">
        <v>4798</v>
      </c>
      <c r="H2927" t="str">
        <f t="shared" si="45"/>
        <v>To alleviate intermittent network connectivity problems, this is the number of seconds to wait before actually re-syncing the s</v>
      </c>
    </row>
    <row r="2928" spans="1:21" x14ac:dyDescent="0.25">
      <c r="A2928" t="s">
        <v>5251</v>
      </c>
      <c r="C2928" t="s">
        <v>4799</v>
      </c>
      <c r="D2928">
        <v>12</v>
      </c>
      <c r="E2928" t="s">
        <v>4800</v>
      </c>
      <c r="H2928" t="str">
        <f t="shared" si="45"/>
        <v>In case of intermittent network problems, how long should playcast retry fragment retrieval before resorting to resync</v>
      </c>
    </row>
    <row r="2929" spans="1:24" x14ac:dyDescent="0.25">
      <c r="A2929" t="s">
        <v>5251</v>
      </c>
      <c r="C2929" t="s">
        <v>4801</v>
      </c>
      <c r="D2929">
        <v>27020</v>
      </c>
      <c r="E2929" t="s">
        <v>4802</v>
      </c>
      <c r="H2929" t="str">
        <f t="shared" si="45"/>
        <v>Host GOTV[0] port</v>
      </c>
    </row>
    <row r="2930" spans="1:24" x14ac:dyDescent="0.25">
      <c r="A2930" t="s">
        <v>5251</v>
      </c>
      <c r="C2930" t="s">
        <v>4803</v>
      </c>
      <c r="D2930">
        <v>27021</v>
      </c>
      <c r="E2930" t="s">
        <v>4804</v>
      </c>
      <c r="H2930" t="str">
        <f t="shared" si="45"/>
        <v>Host GOTV[1] port</v>
      </c>
    </row>
    <row r="2931" spans="1:24" x14ac:dyDescent="0.25">
      <c r="A2931" t="s">
        <v>5251</v>
      </c>
      <c r="C2931" t="s">
        <v>4805</v>
      </c>
      <c r="D2931" t="s">
        <v>25</v>
      </c>
      <c r="E2931" t="s">
        <v>4806</v>
      </c>
      <c r="H2931" t="str">
        <f t="shared" si="45"/>
        <v>Starts GOTV demo recording [-instance &lt;inst&gt; ]</v>
      </c>
    </row>
    <row r="2932" spans="1:24" x14ac:dyDescent="0.25">
      <c r="A2932" t="s">
        <v>5251</v>
      </c>
      <c r="C2932" t="s">
        <v>4807</v>
      </c>
      <c r="D2932" t="s">
        <v>25</v>
      </c>
      <c r="E2932" t="s">
        <v>4808</v>
      </c>
      <c r="H2932" t="str">
        <f t="shared" si="45"/>
        <v>Connect to GOTV server and relay broadcast.</v>
      </c>
    </row>
    <row r="2933" spans="1:24" x14ac:dyDescent="0.25">
      <c r="A2933" t="s">
        <v>5251</v>
      </c>
      <c r="C2933" t="s">
        <v>4809</v>
      </c>
      <c r="D2933">
        <v>0</v>
      </c>
      <c r="E2933" t="s">
        <v>4810</v>
      </c>
      <c r="H2933" t="str">
        <f t="shared" si="45"/>
        <v>GOTV password for relay proxies</v>
      </c>
      <c r="N2933" t="s">
        <v>7</v>
      </c>
      <c r="O2933" t="s">
        <v>8</v>
      </c>
      <c r="U2933" t="s">
        <v>14</v>
      </c>
    </row>
    <row r="2934" spans="1:24" x14ac:dyDescent="0.25">
      <c r="A2934" t="s">
        <v>5251</v>
      </c>
      <c r="C2934" t="s">
        <v>4811</v>
      </c>
      <c r="D2934">
        <v>0</v>
      </c>
      <c r="E2934" t="s">
        <v>4812</v>
      </c>
      <c r="H2934" t="str">
        <f t="shared" si="45"/>
        <v>Relay team radio commands to TV: 0=off, 1=on</v>
      </c>
      <c r="K2934" t="s">
        <v>4</v>
      </c>
    </row>
    <row r="2935" spans="1:24" x14ac:dyDescent="0.25">
      <c r="A2935" t="s">
        <v>5251</v>
      </c>
      <c r="C2935" t="s">
        <v>4813</v>
      </c>
      <c r="D2935">
        <v>1</v>
      </c>
      <c r="E2935" t="s">
        <v>4814</v>
      </c>
      <c r="H2935" t="str">
        <f t="shared" si="45"/>
        <v>Relay text chat data: 0=off, 1=say, 2=say+say_team</v>
      </c>
      <c r="K2935" t="s">
        <v>4</v>
      </c>
    </row>
    <row r="2936" spans="1:24" x14ac:dyDescent="0.25">
      <c r="A2936" t="s">
        <v>5251</v>
      </c>
      <c r="C2936" t="s">
        <v>4815</v>
      </c>
      <c r="D2936">
        <v>1</v>
      </c>
      <c r="E2936" t="s">
        <v>4816</v>
      </c>
      <c r="H2936" t="str">
        <f t="shared" si="45"/>
        <v>Relay voice data: 0=off, 1=on</v>
      </c>
    </row>
    <row r="2937" spans="1:24" x14ac:dyDescent="0.25">
      <c r="A2937" t="s">
        <v>5251</v>
      </c>
      <c r="C2937" t="s">
        <v>4817</v>
      </c>
      <c r="D2937" t="s">
        <v>25</v>
      </c>
      <c r="E2937" t="s">
        <v>4818</v>
      </c>
      <c r="H2937" t="str">
        <f t="shared" si="45"/>
        <v xml:space="preserve">Reconnects the GOTV relay proxy </v>
      </c>
    </row>
    <row r="2938" spans="1:24" x14ac:dyDescent="0.25">
      <c r="A2938" t="s">
        <v>5251</v>
      </c>
      <c r="C2938" t="s">
        <v>4819</v>
      </c>
      <c r="D2938">
        <v>0</v>
      </c>
      <c r="E2938" t="s">
        <v>4820</v>
      </c>
      <c r="H2938" t="str">
        <f t="shared" si="45"/>
        <v>Bypass secure challenge on GOTV port</v>
      </c>
    </row>
    <row r="2939" spans="1:24" x14ac:dyDescent="0.25">
      <c r="A2939" t="s">
        <v>5251</v>
      </c>
      <c r="C2939" t="s">
        <v>4821</v>
      </c>
      <c r="D2939">
        <v>32</v>
      </c>
      <c r="E2939" t="s">
        <v>4822</v>
      </c>
      <c r="H2939" t="str">
        <f t="shared" si="45"/>
        <v>Snapshots broadcasted per second</v>
      </c>
      <c r="S2939" t="s">
        <v>12</v>
      </c>
    </row>
    <row r="2940" spans="1:24" x14ac:dyDescent="0.25">
      <c r="A2940" t="s">
        <v>5251</v>
      </c>
      <c r="C2940" t="s">
        <v>4823</v>
      </c>
      <c r="D2940">
        <v>32</v>
      </c>
      <c r="E2940" t="s">
        <v>4824</v>
      </c>
      <c r="H2940" t="str">
        <f t="shared" si="45"/>
        <v>Snapshots broadcasted per second, GOTV[1]</v>
      </c>
    </row>
    <row r="2941" spans="1:24" x14ac:dyDescent="0.25">
      <c r="A2941" t="s">
        <v>5251</v>
      </c>
      <c r="C2941" t="s">
        <v>4825</v>
      </c>
      <c r="D2941">
        <v>0</v>
      </c>
      <c r="H2941">
        <f t="shared" si="45"/>
        <v>0</v>
      </c>
      <c r="X2941" t="s">
        <v>17</v>
      </c>
    </row>
    <row r="2942" spans="1:24" x14ac:dyDescent="0.25">
      <c r="A2942" t="s">
        <v>5251</v>
      </c>
      <c r="C2942" t="s">
        <v>4826</v>
      </c>
      <c r="D2942" t="s">
        <v>25</v>
      </c>
      <c r="E2942" t="s">
        <v>4827</v>
      </c>
      <c r="H2942" t="str">
        <f t="shared" si="45"/>
        <v>Show GOTV server status.</v>
      </c>
    </row>
    <row r="2943" spans="1:24" x14ac:dyDescent="0.25">
      <c r="A2943" t="s">
        <v>5251</v>
      </c>
      <c r="C2943" t="s">
        <v>4828</v>
      </c>
      <c r="D2943" t="s">
        <v>25</v>
      </c>
      <c r="E2943" t="s">
        <v>4829</v>
      </c>
      <c r="H2943" t="str">
        <f t="shared" si="45"/>
        <v>Stops the GOTV broadcast [-instance &lt;inst&gt; ]</v>
      </c>
    </row>
    <row r="2944" spans="1:24" x14ac:dyDescent="0.25">
      <c r="A2944" t="s">
        <v>5251</v>
      </c>
      <c r="C2944" t="s">
        <v>4830</v>
      </c>
      <c r="D2944" t="s">
        <v>25</v>
      </c>
      <c r="E2944" t="s">
        <v>4831</v>
      </c>
      <c r="H2944" t="str">
        <f t="shared" si="45"/>
        <v>Stops GOTV demo recording [-instance &lt;inst&gt; ]</v>
      </c>
    </row>
    <row r="2945" spans="1:24" x14ac:dyDescent="0.25">
      <c r="A2945" t="s">
        <v>5251</v>
      </c>
      <c r="C2945" t="s">
        <v>4832</v>
      </c>
      <c r="D2945" t="s">
        <v>25</v>
      </c>
      <c r="E2945" t="s">
        <v>4833</v>
      </c>
      <c r="H2945" t="str">
        <f t="shared" si="45"/>
        <v>Print remaining tv broadcast time</v>
      </c>
    </row>
    <row r="2946" spans="1:24" x14ac:dyDescent="0.25">
      <c r="A2946" t="s">
        <v>5251</v>
      </c>
      <c r="C2946" t="s">
        <v>4834</v>
      </c>
      <c r="D2946">
        <v>30</v>
      </c>
      <c r="E2946" t="s">
        <v>4835</v>
      </c>
      <c r="H2946" t="str">
        <f t="shared" si="45"/>
        <v>GOTV connection timeout in seconds.</v>
      </c>
    </row>
    <row r="2947" spans="1:24" x14ac:dyDescent="0.25">
      <c r="A2947" t="s">
        <v>5251</v>
      </c>
      <c r="C2947" t="s">
        <v>4836</v>
      </c>
      <c r="D2947">
        <v>0</v>
      </c>
      <c r="E2947" t="s">
        <v>4837</v>
      </c>
      <c r="H2947" t="str">
        <f t="shared" ref="H2947:H3010" si="46">IF(F2947="",E2947, F2947 &amp; " - Original Helptext: " &amp;E2947)</f>
        <v>Set title for GOTV spectator UI</v>
      </c>
    </row>
    <row r="2948" spans="1:24" x14ac:dyDescent="0.25">
      <c r="A2948" t="s">
        <v>5251</v>
      </c>
      <c r="C2948" t="s">
        <v>4838</v>
      </c>
      <c r="D2948">
        <v>1</v>
      </c>
      <c r="E2948" t="s">
        <v>4839</v>
      </c>
      <c r="H2948" t="str">
        <f t="shared" si="46"/>
        <v>Transmit all entities (not only director view)</v>
      </c>
      <c r="S2948" t="s">
        <v>12</v>
      </c>
    </row>
    <row r="2949" spans="1:24" x14ac:dyDescent="0.25">
      <c r="A2949" t="s">
        <v>5251</v>
      </c>
      <c r="C2949" t="s">
        <v>4840</v>
      </c>
      <c r="D2949" t="s">
        <v>25</v>
      </c>
      <c r="E2949" t="s">
        <v>4841</v>
      </c>
      <c r="H2949" t="str">
        <f t="shared" si="46"/>
        <v>Allow real-time tweaking of the ammo impulse values.</v>
      </c>
    </row>
    <row r="2950" spans="1:24" x14ac:dyDescent="0.25">
      <c r="A2950" t="s">
        <v>5251</v>
      </c>
      <c r="C2950" t="s">
        <v>4842</v>
      </c>
      <c r="D2950">
        <v>0</v>
      </c>
      <c r="H2950">
        <f t="shared" si="46"/>
        <v>0</v>
      </c>
      <c r="I2950" t="s">
        <v>2</v>
      </c>
      <c r="X2950" t="s">
        <v>17</v>
      </c>
    </row>
    <row r="2951" spans="1:24" x14ac:dyDescent="0.25">
      <c r="A2951" t="s">
        <v>5251</v>
      </c>
      <c r="C2951" t="s">
        <v>4843</v>
      </c>
      <c r="D2951">
        <v>0</v>
      </c>
      <c r="H2951">
        <f t="shared" si="46"/>
        <v>0</v>
      </c>
      <c r="I2951" t="s">
        <v>2</v>
      </c>
      <c r="X2951" t="s">
        <v>17</v>
      </c>
    </row>
    <row r="2952" spans="1:24" x14ac:dyDescent="0.25">
      <c r="A2952" t="s">
        <v>5251</v>
      </c>
      <c r="C2952" t="s">
        <v>4844</v>
      </c>
      <c r="D2952">
        <v>0</v>
      </c>
      <c r="H2952">
        <f t="shared" si="46"/>
        <v>0</v>
      </c>
      <c r="I2952" t="s">
        <v>2</v>
      </c>
      <c r="X2952" t="s">
        <v>17</v>
      </c>
    </row>
    <row r="2953" spans="1:24" x14ac:dyDescent="0.25">
      <c r="A2953" t="s">
        <v>5251</v>
      </c>
      <c r="C2953" t="s">
        <v>4845</v>
      </c>
      <c r="D2953">
        <v>0</v>
      </c>
      <c r="H2953">
        <f t="shared" si="46"/>
        <v>0</v>
      </c>
      <c r="I2953" t="s">
        <v>2</v>
      </c>
      <c r="X2953" t="s">
        <v>17</v>
      </c>
    </row>
    <row r="2954" spans="1:24" x14ac:dyDescent="0.25">
      <c r="A2954" t="s">
        <v>5251</v>
      </c>
      <c r="C2954" t="s">
        <v>4846</v>
      </c>
      <c r="D2954">
        <v>0</v>
      </c>
      <c r="H2954">
        <f t="shared" si="46"/>
        <v>0</v>
      </c>
      <c r="I2954" t="s">
        <v>2</v>
      </c>
      <c r="X2954" t="s">
        <v>17</v>
      </c>
    </row>
    <row r="2955" spans="1:24" x14ac:dyDescent="0.25">
      <c r="A2955" t="s">
        <v>5251</v>
      </c>
      <c r="C2955" t="s">
        <v>4847</v>
      </c>
      <c r="D2955">
        <v>0</v>
      </c>
      <c r="H2955">
        <f t="shared" si="46"/>
        <v>0</v>
      </c>
      <c r="X2955" t="s">
        <v>17</v>
      </c>
    </row>
    <row r="2956" spans="1:24" x14ac:dyDescent="0.25">
      <c r="A2956" t="s">
        <v>5251</v>
      </c>
      <c r="C2956" t="s">
        <v>4848</v>
      </c>
      <c r="D2956">
        <v>0</v>
      </c>
      <c r="E2956" t="s">
        <v>4849</v>
      </c>
      <c r="H2956" t="str">
        <f t="shared" si="46"/>
        <v>Main menu background movie</v>
      </c>
      <c r="I2956" t="s">
        <v>2</v>
      </c>
      <c r="X2956" t="s">
        <v>17</v>
      </c>
    </row>
    <row r="2957" spans="1:24" x14ac:dyDescent="0.25">
      <c r="A2957" t="s">
        <v>5251</v>
      </c>
      <c r="C2957" t="s">
        <v>4850</v>
      </c>
      <c r="D2957">
        <v>0</v>
      </c>
      <c r="H2957">
        <f t="shared" si="46"/>
        <v>0</v>
      </c>
      <c r="I2957" t="s">
        <v>2</v>
      </c>
      <c r="X2957" t="s">
        <v>17</v>
      </c>
    </row>
    <row r="2958" spans="1:24" x14ac:dyDescent="0.25">
      <c r="A2958" t="s">
        <v>5251</v>
      </c>
      <c r="C2958" t="s">
        <v>4851</v>
      </c>
      <c r="D2958">
        <v>0</v>
      </c>
      <c r="H2958">
        <f t="shared" si="46"/>
        <v>0</v>
      </c>
      <c r="I2958" t="s">
        <v>2</v>
      </c>
      <c r="X2958" t="s">
        <v>17</v>
      </c>
    </row>
    <row r="2959" spans="1:24" x14ac:dyDescent="0.25">
      <c r="A2959" t="s">
        <v>5251</v>
      </c>
      <c r="C2959" t="s">
        <v>4852</v>
      </c>
      <c r="D2959">
        <v>0</v>
      </c>
      <c r="H2959">
        <f t="shared" si="46"/>
        <v>0</v>
      </c>
      <c r="I2959" t="s">
        <v>2</v>
      </c>
      <c r="X2959" t="s">
        <v>17</v>
      </c>
    </row>
    <row r="2960" spans="1:24" x14ac:dyDescent="0.25">
      <c r="A2960" t="s">
        <v>5251</v>
      </c>
      <c r="C2960" t="s">
        <v>4853</v>
      </c>
      <c r="D2960">
        <v>0</v>
      </c>
      <c r="H2960">
        <f t="shared" si="46"/>
        <v>0</v>
      </c>
      <c r="I2960" t="s">
        <v>2</v>
      </c>
      <c r="X2960" t="s">
        <v>17</v>
      </c>
    </row>
    <row r="2961" spans="1:24" x14ac:dyDescent="0.25">
      <c r="A2961" t="s">
        <v>5251</v>
      </c>
      <c r="C2961" t="s">
        <v>4854</v>
      </c>
      <c r="D2961">
        <v>0</v>
      </c>
      <c r="H2961">
        <f t="shared" si="46"/>
        <v>0</v>
      </c>
      <c r="I2961" t="s">
        <v>2</v>
      </c>
      <c r="X2961" t="s">
        <v>17</v>
      </c>
    </row>
    <row r="2962" spans="1:24" x14ac:dyDescent="0.25">
      <c r="A2962" t="s">
        <v>5251</v>
      </c>
      <c r="C2962" t="s">
        <v>4855</v>
      </c>
      <c r="D2962">
        <v>0</v>
      </c>
      <c r="H2962">
        <f t="shared" si="46"/>
        <v>0</v>
      </c>
      <c r="I2962" t="s">
        <v>2</v>
      </c>
      <c r="X2962" t="s">
        <v>17</v>
      </c>
    </row>
    <row r="2963" spans="1:24" x14ac:dyDescent="0.25">
      <c r="A2963" t="s">
        <v>5251</v>
      </c>
      <c r="C2963" t="s">
        <v>4856</v>
      </c>
      <c r="D2963">
        <v>0</v>
      </c>
      <c r="H2963">
        <f t="shared" si="46"/>
        <v>0</v>
      </c>
      <c r="I2963" t="s">
        <v>2</v>
      </c>
      <c r="X2963" t="s">
        <v>17</v>
      </c>
    </row>
    <row r="2964" spans="1:24" x14ac:dyDescent="0.25">
      <c r="A2964" t="s">
        <v>5251</v>
      </c>
      <c r="C2964" t="s">
        <v>4857</v>
      </c>
      <c r="D2964">
        <v>0</v>
      </c>
      <c r="H2964">
        <f t="shared" si="46"/>
        <v>0</v>
      </c>
      <c r="I2964" t="s">
        <v>2</v>
      </c>
      <c r="X2964" t="s">
        <v>17</v>
      </c>
    </row>
    <row r="2965" spans="1:24" x14ac:dyDescent="0.25">
      <c r="A2965" t="s">
        <v>5251</v>
      </c>
      <c r="C2965" t="s">
        <v>4858</v>
      </c>
      <c r="D2965">
        <v>0</v>
      </c>
      <c r="H2965">
        <f t="shared" si="46"/>
        <v>0</v>
      </c>
      <c r="I2965" t="s">
        <v>2</v>
      </c>
      <c r="X2965" t="s">
        <v>17</v>
      </c>
    </row>
    <row r="2966" spans="1:24" x14ac:dyDescent="0.25">
      <c r="A2966" t="s">
        <v>5251</v>
      </c>
      <c r="C2966" t="s">
        <v>4859</v>
      </c>
      <c r="D2966">
        <v>0</v>
      </c>
      <c r="H2966">
        <f t="shared" si="46"/>
        <v>0</v>
      </c>
      <c r="I2966" t="s">
        <v>2</v>
      </c>
      <c r="X2966" t="s">
        <v>17</v>
      </c>
    </row>
    <row r="2967" spans="1:24" x14ac:dyDescent="0.25">
      <c r="A2967" t="s">
        <v>5251</v>
      </c>
      <c r="C2967" t="s">
        <v>4860</v>
      </c>
      <c r="D2967">
        <v>0</v>
      </c>
      <c r="H2967">
        <f t="shared" si="46"/>
        <v>0</v>
      </c>
      <c r="I2967" t="s">
        <v>2</v>
      </c>
      <c r="X2967" t="s">
        <v>17</v>
      </c>
    </row>
    <row r="2968" spans="1:24" x14ac:dyDescent="0.25">
      <c r="A2968" t="s">
        <v>5251</v>
      </c>
      <c r="C2968" t="s">
        <v>4861</v>
      </c>
      <c r="D2968">
        <v>0</v>
      </c>
      <c r="H2968">
        <f t="shared" si="46"/>
        <v>0</v>
      </c>
      <c r="I2968" t="s">
        <v>2</v>
      </c>
      <c r="X2968" t="s">
        <v>17</v>
      </c>
    </row>
    <row r="2969" spans="1:24" x14ac:dyDescent="0.25">
      <c r="A2969" t="s">
        <v>5251</v>
      </c>
      <c r="C2969" t="s">
        <v>4862</v>
      </c>
      <c r="D2969">
        <v>0</v>
      </c>
      <c r="H2969">
        <f t="shared" si="46"/>
        <v>0</v>
      </c>
      <c r="I2969" t="s">
        <v>2</v>
      </c>
      <c r="X2969" t="s">
        <v>17</v>
      </c>
    </row>
    <row r="2970" spans="1:24" x14ac:dyDescent="0.25">
      <c r="A2970" t="s">
        <v>5251</v>
      </c>
      <c r="C2970" t="s">
        <v>4863</v>
      </c>
      <c r="D2970">
        <v>0</v>
      </c>
      <c r="H2970">
        <f t="shared" si="46"/>
        <v>0</v>
      </c>
      <c r="I2970" t="s">
        <v>2</v>
      </c>
      <c r="X2970" t="s">
        <v>17</v>
      </c>
    </row>
    <row r="2971" spans="1:24" x14ac:dyDescent="0.25">
      <c r="A2971" t="s">
        <v>5251</v>
      </c>
      <c r="C2971" t="s">
        <v>4864</v>
      </c>
      <c r="D2971">
        <v>0</v>
      </c>
      <c r="H2971">
        <f t="shared" si="46"/>
        <v>0</v>
      </c>
      <c r="I2971" t="s">
        <v>2</v>
      </c>
      <c r="X2971" t="s">
        <v>17</v>
      </c>
    </row>
    <row r="2972" spans="1:24" x14ac:dyDescent="0.25">
      <c r="A2972" t="s">
        <v>5251</v>
      </c>
      <c r="C2972" t="s">
        <v>4865</v>
      </c>
      <c r="D2972">
        <v>2</v>
      </c>
      <c r="H2972">
        <f t="shared" si="46"/>
        <v>0</v>
      </c>
      <c r="I2972" t="s">
        <v>2</v>
      </c>
      <c r="X2972" t="s">
        <v>17</v>
      </c>
    </row>
    <row r="2973" spans="1:24" x14ac:dyDescent="0.25">
      <c r="A2973" t="s">
        <v>5251</v>
      </c>
      <c r="C2973" t="s">
        <v>4866</v>
      </c>
      <c r="D2973">
        <v>0</v>
      </c>
      <c r="E2973" t="s">
        <v>4867</v>
      </c>
      <c r="H2973" t="str">
        <f t="shared" si="46"/>
        <v>Time during which a new pose activity layer is shown in green in +posedebug UI</v>
      </c>
      <c r="L2973" t="s">
        <v>5</v>
      </c>
      <c r="U2973" t="s">
        <v>14</v>
      </c>
      <c r="X2973" t="s">
        <v>17</v>
      </c>
    </row>
    <row r="2974" spans="1:24" x14ac:dyDescent="0.25">
      <c r="A2974" t="s">
        <v>5251</v>
      </c>
      <c r="C2974" t="s">
        <v>4868</v>
      </c>
      <c r="D2974">
        <v>0</v>
      </c>
      <c r="E2974" t="s">
        <v>4869</v>
      </c>
      <c r="H2974" t="str">
        <f t="shared" si="46"/>
        <v>Time to keep a no longer active pose activity layer in red until removing it from +posedebug UI</v>
      </c>
      <c r="L2974" t="s">
        <v>5</v>
      </c>
      <c r="U2974" t="s">
        <v>14</v>
      </c>
      <c r="X2974" t="s">
        <v>17</v>
      </c>
    </row>
    <row r="2975" spans="1:24" x14ac:dyDescent="0.25">
      <c r="A2975" t="s">
        <v>5251</v>
      </c>
      <c r="C2975" t="s">
        <v>4870</v>
      </c>
      <c r="D2975" t="s">
        <v>25</v>
      </c>
      <c r="E2975" t="s">
        <v>4871</v>
      </c>
      <c r="H2975" t="str">
        <f t="shared" si="46"/>
        <v>Reloads the resource files for the active UI window</v>
      </c>
    </row>
    <row r="2976" spans="1:24" x14ac:dyDescent="0.25">
      <c r="A2976" t="s">
        <v>5251</v>
      </c>
      <c r="C2976" t="s">
        <v>4872</v>
      </c>
      <c r="D2976">
        <v>1</v>
      </c>
      <c r="E2976" t="s">
        <v>4873</v>
      </c>
      <c r="H2976" t="str">
        <f t="shared" si="46"/>
        <v>Whether users will automatically advertise for invites (0: off; 1: last; 2: auto)</v>
      </c>
      <c r="I2976" t="s">
        <v>2</v>
      </c>
      <c r="X2976" t="s">
        <v>17</v>
      </c>
    </row>
    <row r="2977" spans="1:24" x14ac:dyDescent="0.25">
      <c r="A2977" t="s">
        <v>5251</v>
      </c>
      <c r="C2977" t="s">
        <v>4874</v>
      </c>
      <c r="D2977">
        <v>0</v>
      </c>
      <c r="E2977" t="s">
        <v>4875</v>
      </c>
      <c r="H2977" t="str">
        <f t="shared" si="46"/>
        <v>Which game mode users last used to advertise for invites</v>
      </c>
      <c r="I2977" t="s">
        <v>2</v>
      </c>
      <c r="X2977" t="s">
        <v>17</v>
      </c>
    </row>
    <row r="2978" spans="1:24" x14ac:dyDescent="0.25">
      <c r="A2978" t="s">
        <v>5251</v>
      </c>
      <c r="C2978" t="s">
        <v>4876</v>
      </c>
      <c r="D2978">
        <v>0</v>
      </c>
      <c r="E2978" t="s">
        <v>4877</v>
      </c>
      <c r="H2978" t="str">
        <f t="shared" si="46"/>
        <v>Steam overlay notification position</v>
      </c>
      <c r="I2978" t="s">
        <v>2</v>
      </c>
      <c r="X2978" t="s">
        <v>17</v>
      </c>
    </row>
    <row r="2979" spans="1:24" x14ac:dyDescent="0.25">
      <c r="A2979" t="s">
        <v>5251</v>
      </c>
      <c r="C2979" t="s">
        <v>4878</v>
      </c>
      <c r="D2979">
        <v>0</v>
      </c>
      <c r="H2979">
        <f t="shared" si="46"/>
        <v>0</v>
      </c>
      <c r="I2979" t="s">
        <v>2</v>
      </c>
      <c r="X2979" t="s">
        <v>17</v>
      </c>
    </row>
    <row r="2980" spans="1:24" x14ac:dyDescent="0.25">
      <c r="A2980" t="s">
        <v>5251</v>
      </c>
      <c r="C2980" t="s">
        <v>4879</v>
      </c>
      <c r="D2980">
        <v>0</v>
      </c>
      <c r="H2980">
        <f t="shared" si="46"/>
        <v>0</v>
      </c>
      <c r="I2980" t="s">
        <v>2</v>
      </c>
      <c r="X2980" t="s">
        <v>17</v>
      </c>
    </row>
    <row r="2981" spans="1:24" x14ac:dyDescent="0.25">
      <c r="A2981" t="s">
        <v>5251</v>
      </c>
      <c r="C2981" t="s">
        <v>4880</v>
      </c>
      <c r="D2981">
        <v>0</v>
      </c>
      <c r="H2981">
        <f t="shared" si="46"/>
        <v>0</v>
      </c>
      <c r="I2981" t="s">
        <v>2</v>
      </c>
      <c r="X2981" t="s">
        <v>17</v>
      </c>
    </row>
    <row r="2982" spans="1:24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  <c r="H2982" t="str">
        <f t="shared" si="46"/>
        <v>Unbind a key.</v>
      </c>
    </row>
    <row r="2983" spans="1:24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  <c r="H2983" t="str">
        <f t="shared" si="46"/>
        <v>Unbind all keys.</v>
      </c>
    </row>
    <row r="2984" spans="1:24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  <c r="H2984" t="str">
        <f t="shared" si="46"/>
        <v>Unbind all joystick keys.</v>
      </c>
    </row>
    <row r="2985" spans="1:24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  <c r="H2985" t="str">
        <f t="shared" si="46"/>
        <v>Unbind all mouse / keyboard keys.</v>
      </c>
    </row>
    <row r="2986" spans="1:24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  <c r="H2986" t="str">
        <f t="shared" si="46"/>
        <v>Unpause the game.</v>
      </c>
    </row>
    <row r="2987" spans="1:24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  <c r="H2987" t="str">
        <f t="shared" si="46"/>
        <v>Use a particular weapon	 Arguments: &lt;weapon_name&gt;</v>
      </c>
    </row>
    <row r="2988" spans="1:24" x14ac:dyDescent="0.25">
      <c r="A2988" t="s">
        <v>5251</v>
      </c>
      <c r="B2988" t="s">
        <v>25</v>
      </c>
      <c r="C2988" t="s">
        <v>4892</v>
      </c>
      <c r="D2988" t="s">
        <v>25</v>
      </c>
      <c r="H2988">
        <f t="shared" si="46"/>
        <v>0</v>
      </c>
    </row>
    <row r="2989" spans="1:24" x14ac:dyDescent="0.25">
      <c r="A2989" t="s">
        <v>5251</v>
      </c>
      <c r="B2989" t="s">
        <v>25</v>
      </c>
      <c r="C2989" t="s">
        <v>4893</v>
      </c>
      <c r="D2989" t="s">
        <v>25</v>
      </c>
      <c r="H2989">
        <f t="shared" si="46"/>
        <v>0</v>
      </c>
    </row>
    <row r="2990" spans="1:24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  <c r="H2990" t="str">
        <f t="shared" si="46"/>
        <v>Show user data.</v>
      </c>
    </row>
    <row r="2991" spans="1:24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  <c r="H2991" t="str">
        <f t="shared" si="46"/>
        <v>Show user info for players on server.</v>
      </c>
    </row>
    <row r="2992" spans="1:24" x14ac:dyDescent="0.25">
      <c r="A2992" t="s">
        <v>5251</v>
      </c>
      <c r="C2992" t="s">
        <v>4897</v>
      </c>
      <c r="D2992">
        <v>0</v>
      </c>
      <c r="E2992" t="s">
        <v>4898</v>
      </c>
      <c r="H2992" t="str">
        <f t="shared" si="46"/>
        <v>Render physics collision models in wireframe</v>
      </c>
      <c r="L2992" t="s">
        <v>5</v>
      </c>
      <c r="X2992" t="s">
        <v>17</v>
      </c>
    </row>
    <row r="2993" spans="1:24" x14ac:dyDescent="0.25">
      <c r="A2993" t="s">
        <v>5251</v>
      </c>
      <c r="C2993" t="s">
        <v>4899</v>
      </c>
      <c r="D2993" t="s">
        <v>25</v>
      </c>
      <c r="E2993" t="s">
        <v>4900</v>
      </c>
      <c r="H2993" t="str">
        <f t="shared" si="46"/>
        <v>Flush and reload all vehicle scripts</v>
      </c>
    </row>
    <row r="2994" spans="1:24" x14ac:dyDescent="0.25">
      <c r="A2994" t="s">
        <v>5251</v>
      </c>
      <c r="C2994" t="s">
        <v>4901</v>
      </c>
      <c r="D2994" t="s">
        <v>25</v>
      </c>
      <c r="E2994" t="s">
        <v>4902</v>
      </c>
      <c r="H2994" t="str">
        <f t="shared" si="46"/>
        <v>Print version info string.</v>
      </c>
    </row>
    <row r="2995" spans="1:24" x14ac:dyDescent="0.25">
      <c r="A2995" t="s">
        <v>5251</v>
      </c>
      <c r="B2995" t="s">
        <v>25</v>
      </c>
      <c r="C2995" t="s">
        <v>4903</v>
      </c>
      <c r="D2995" t="s">
        <v>25</v>
      </c>
      <c r="H2995">
        <f t="shared" si="46"/>
        <v>0</v>
      </c>
    </row>
    <row r="2996" spans="1:24" x14ac:dyDescent="0.25">
      <c r="A2996" t="s">
        <v>5251</v>
      </c>
      <c r="B2996" t="s">
        <v>25</v>
      </c>
      <c r="C2996" t="s">
        <v>4904</v>
      </c>
      <c r="D2996" t="s">
        <v>25</v>
      </c>
      <c r="H2996">
        <f t="shared" si="46"/>
        <v>0</v>
      </c>
    </row>
    <row r="2997" spans="1:24" x14ac:dyDescent="0.25">
      <c r="A2997" t="s">
        <v>5251</v>
      </c>
      <c r="C2997" t="s">
        <v>4905</v>
      </c>
      <c r="D2997">
        <v>0</v>
      </c>
      <c r="E2997" t="s">
        <v>4906</v>
      </c>
      <c r="H2997" t="str">
        <f t="shared" si="46"/>
        <v>Draws the vgui panel hiearchy to the specified depth level.</v>
      </c>
      <c r="L2997" t="s">
        <v>5</v>
      </c>
    </row>
    <row r="2998" spans="1:24" x14ac:dyDescent="0.25">
      <c r="A2998" t="s">
        <v>5251</v>
      </c>
      <c r="C2998" t="s">
        <v>4907</v>
      </c>
      <c r="D2998" t="s">
        <v>25</v>
      </c>
      <c r="H2998">
        <f t="shared" si="46"/>
        <v>0</v>
      </c>
    </row>
    <row r="2999" spans="1:24" x14ac:dyDescent="0.25">
      <c r="A2999" t="s">
        <v>5251</v>
      </c>
      <c r="C2999" t="s">
        <v>4908</v>
      </c>
      <c r="D2999" t="s">
        <v>25</v>
      </c>
      <c r="E2999" t="s">
        <v>4909</v>
      </c>
      <c r="H2999" t="str">
        <f t="shared" si="46"/>
        <v>vgui_dump_panels [visible]</v>
      </c>
    </row>
    <row r="3000" spans="1:24" x14ac:dyDescent="0.25">
      <c r="A3000" t="s">
        <v>5251</v>
      </c>
      <c r="C3000" t="s">
        <v>4910</v>
      </c>
      <c r="D3000">
        <v>1</v>
      </c>
      <c r="H3000">
        <f t="shared" si="46"/>
        <v>0</v>
      </c>
      <c r="I3000" t="s">
        <v>2</v>
      </c>
      <c r="X3000" t="s">
        <v>17</v>
      </c>
    </row>
    <row r="3001" spans="1:24" x14ac:dyDescent="0.25">
      <c r="A3001" t="s">
        <v>5251</v>
      </c>
      <c r="C3001" t="s">
        <v>4911</v>
      </c>
      <c r="D3001" t="s">
        <v>25</v>
      </c>
      <c r="H3001">
        <f t="shared" si="46"/>
        <v>0</v>
      </c>
    </row>
    <row r="3002" spans="1:24" x14ac:dyDescent="0.25">
      <c r="A3002" t="s">
        <v>5251</v>
      </c>
      <c r="C3002" t="s">
        <v>4912</v>
      </c>
      <c r="D3002" t="s">
        <v>25</v>
      </c>
      <c r="E3002" t="s">
        <v>4913</v>
      </c>
      <c r="H3002" t="str">
        <f t="shared" si="46"/>
        <v>show/hide vgui panel by name.</v>
      </c>
    </row>
    <row r="3003" spans="1:24" x14ac:dyDescent="0.25">
      <c r="A3003" t="s">
        <v>5251</v>
      </c>
      <c r="C3003" t="s">
        <v>4914</v>
      </c>
      <c r="D3003">
        <v>18</v>
      </c>
      <c r="E3003" t="s">
        <v>4915</v>
      </c>
      <c r="H3003" t="str">
        <f t="shared" si="46"/>
        <v>Decay factor exponent for view punch</v>
      </c>
      <c r="L3003" t="s">
        <v>5</v>
      </c>
      <c r="S3003" t="s">
        <v>12</v>
      </c>
      <c r="X3003" t="s">
        <v>17</v>
      </c>
    </row>
    <row r="3004" spans="1:24" x14ac:dyDescent="0.25">
      <c r="A3004" t="s">
        <v>5251</v>
      </c>
      <c r="C3004" t="s">
        <v>4916</v>
      </c>
      <c r="D3004">
        <v>0</v>
      </c>
      <c r="E3004" t="s">
        <v>4917</v>
      </c>
      <c r="H3004" t="str">
        <f t="shared" si="46"/>
        <v>How closely the view tracks with the aim punch from weapon recoil</v>
      </c>
      <c r="L3004" t="s">
        <v>5</v>
      </c>
      <c r="S3004" t="s">
        <v>12</v>
      </c>
      <c r="X3004" t="s">
        <v>17</v>
      </c>
    </row>
    <row r="3005" spans="1:24" x14ac:dyDescent="0.25">
      <c r="A3005" t="s">
        <v>5251</v>
      </c>
      <c r="C3005" t="s">
        <v>4918</v>
      </c>
      <c r="D3005" t="s">
        <v>25</v>
      </c>
      <c r="H3005">
        <f t="shared" si="46"/>
        <v>0</v>
      </c>
    </row>
    <row r="3006" spans="1:24" x14ac:dyDescent="0.25">
      <c r="A3006" t="s">
        <v>5251</v>
      </c>
      <c r="C3006" t="s">
        <v>4919</v>
      </c>
      <c r="D3006" t="s">
        <v>25</v>
      </c>
      <c r="E3006" t="s">
        <v>4919</v>
      </c>
      <c r="H3006" t="str">
        <f t="shared" si="46"/>
        <v>viewanim_create</v>
      </c>
    </row>
    <row r="3007" spans="1:24" x14ac:dyDescent="0.25">
      <c r="A3007" t="s">
        <v>5251</v>
      </c>
      <c r="C3007" t="s">
        <v>4920</v>
      </c>
      <c r="D3007" t="s">
        <v>25</v>
      </c>
      <c r="E3007" t="s">
        <v>4921</v>
      </c>
      <c r="H3007" t="str">
        <f t="shared" si="46"/>
        <v>load animation from file</v>
      </c>
    </row>
    <row r="3008" spans="1:24" x14ac:dyDescent="0.25">
      <c r="A3008" t="s">
        <v>5251</v>
      </c>
      <c r="C3008" t="s">
        <v>4922</v>
      </c>
      <c r="D3008" t="s">
        <v>25</v>
      </c>
      <c r="E3008" t="s">
        <v>4923</v>
      </c>
      <c r="H3008" t="str">
        <f t="shared" si="46"/>
        <v>reset view angles!</v>
      </c>
    </row>
    <row r="3009" spans="1:24" x14ac:dyDescent="0.25">
      <c r="A3009" t="s">
        <v>5251</v>
      </c>
      <c r="C3009" t="s">
        <v>4924</v>
      </c>
      <c r="D3009" t="s">
        <v>25</v>
      </c>
      <c r="E3009" t="s">
        <v>4925</v>
      </c>
      <c r="H3009" t="str">
        <f t="shared" si="46"/>
        <v>Save current animation to file</v>
      </c>
    </row>
    <row r="3010" spans="1:24" x14ac:dyDescent="0.25">
      <c r="A3010" t="s">
        <v>5251</v>
      </c>
      <c r="C3010" t="s">
        <v>4926</v>
      </c>
      <c r="D3010" t="s">
        <v>25</v>
      </c>
      <c r="E3010" t="s">
        <v>4927</v>
      </c>
      <c r="H3010" t="str">
        <f t="shared" si="46"/>
        <v>test view animation</v>
      </c>
    </row>
    <row r="3011" spans="1:24" x14ac:dyDescent="0.25">
      <c r="A3011" t="s">
        <v>5251</v>
      </c>
      <c r="C3011" t="s">
        <v>4928</v>
      </c>
      <c r="D3011">
        <v>60</v>
      </c>
      <c r="H3011">
        <f t="shared" ref="H3011:H3074" si="47">IF(F3011="",E3011, F3011 &amp; " - Original Helptext: " &amp;E3011)</f>
        <v>0</v>
      </c>
      <c r="I3011" t="s">
        <v>2</v>
      </c>
      <c r="X3011" t="s">
        <v>17</v>
      </c>
    </row>
    <row r="3012" spans="1:24" x14ac:dyDescent="0.25">
      <c r="A3012" t="s">
        <v>5251</v>
      </c>
      <c r="C3012" t="s">
        <v>4929</v>
      </c>
      <c r="D3012">
        <v>0</v>
      </c>
      <c r="E3012" t="s">
        <v>4930</v>
      </c>
      <c r="H3012" t="str">
        <f t="shared" si="47"/>
        <v>randomly change viewmodel offsets to visualize range</v>
      </c>
      <c r="L3012" t="s">
        <v>5</v>
      </c>
      <c r="X3012" t="s">
        <v>17</v>
      </c>
    </row>
    <row r="3013" spans="1:24" x14ac:dyDescent="0.25">
      <c r="A3013" t="s">
        <v>5251</v>
      </c>
      <c r="C3013" t="s">
        <v>4931</v>
      </c>
      <c r="D3013">
        <v>1</v>
      </c>
      <c r="H3013">
        <f t="shared" si="47"/>
        <v>0</v>
      </c>
      <c r="I3013" t="s">
        <v>2</v>
      </c>
      <c r="X3013" t="s">
        <v>17</v>
      </c>
    </row>
    <row r="3014" spans="1:24" x14ac:dyDescent="0.25">
      <c r="A3014" t="s">
        <v>5251</v>
      </c>
      <c r="C3014" t="s">
        <v>4932</v>
      </c>
      <c r="D3014">
        <v>1</v>
      </c>
      <c r="H3014">
        <f t="shared" si="47"/>
        <v>0</v>
      </c>
      <c r="I3014" t="s">
        <v>2</v>
      </c>
      <c r="X3014" t="s">
        <v>17</v>
      </c>
    </row>
    <row r="3015" spans="1:24" x14ac:dyDescent="0.25">
      <c r="A3015" t="s">
        <v>5251</v>
      </c>
      <c r="C3015" t="s">
        <v>4933</v>
      </c>
      <c r="D3015">
        <v>-1</v>
      </c>
      <c r="H3015">
        <f t="shared" si="47"/>
        <v>0</v>
      </c>
      <c r="I3015" t="s">
        <v>2</v>
      </c>
      <c r="X3015" t="s">
        <v>17</v>
      </c>
    </row>
    <row r="3016" spans="1:24" x14ac:dyDescent="0.25">
      <c r="A3016" t="s">
        <v>5251</v>
      </c>
      <c r="C3016" t="s">
        <v>4934</v>
      </c>
      <c r="D3016">
        <v>1</v>
      </c>
      <c r="E3016" t="s">
        <v>4935</v>
      </c>
      <c r="H3016" t="str">
        <f t="shared" si="47"/>
        <v xml:space="preserve">1:'Desktop', 2:'Couch', 3:'Classic' </v>
      </c>
      <c r="I3016" t="s">
        <v>2</v>
      </c>
      <c r="X3016" t="s">
        <v>17</v>
      </c>
    </row>
    <row r="3017" spans="1:24" x14ac:dyDescent="0.25">
      <c r="A3017" t="s">
        <v>5251</v>
      </c>
      <c r="C3017" t="s">
        <v>4936</v>
      </c>
      <c r="D3017">
        <v>1</v>
      </c>
      <c r="E3017" t="s">
        <v>4937</v>
      </c>
      <c r="H3017" t="str">
        <f t="shared" si="47"/>
        <v>Amount of weapon recoil/aimpunch to display on viewmodel</v>
      </c>
      <c r="I3017" t="s">
        <v>2</v>
      </c>
      <c r="X3017" t="s">
        <v>17</v>
      </c>
    </row>
    <row r="3018" spans="1:24" x14ac:dyDescent="0.25">
      <c r="A3018" t="s">
        <v>5251</v>
      </c>
      <c r="C3018" t="s">
        <v>4938</v>
      </c>
      <c r="D3018">
        <v>0</v>
      </c>
      <c r="H3018">
        <f t="shared" si="47"/>
        <v>0</v>
      </c>
      <c r="K3018" t="s">
        <v>4</v>
      </c>
      <c r="L3018" t="s">
        <v>5</v>
      </c>
    </row>
    <row r="3019" spans="1:24" x14ac:dyDescent="0.25">
      <c r="A3019" t="s">
        <v>5251</v>
      </c>
      <c r="C3019" t="s">
        <v>4939</v>
      </c>
      <c r="D3019">
        <v>0</v>
      </c>
      <c r="H3019">
        <f t="shared" si="47"/>
        <v>0</v>
      </c>
      <c r="K3019" t="s">
        <v>4</v>
      </c>
      <c r="L3019" t="s">
        <v>5</v>
      </c>
    </row>
    <row r="3020" spans="1:24" x14ac:dyDescent="0.25">
      <c r="A3020" t="s">
        <v>5251</v>
      </c>
      <c r="C3020" t="s">
        <v>4940</v>
      </c>
      <c r="D3020">
        <v>12</v>
      </c>
      <c r="H3020">
        <f t="shared" si="47"/>
        <v>0</v>
      </c>
      <c r="K3020" t="s">
        <v>4</v>
      </c>
      <c r="L3020" t="s">
        <v>5</v>
      </c>
    </row>
    <row r="3021" spans="1:24" x14ac:dyDescent="0.25">
      <c r="A3021" t="s">
        <v>5251</v>
      </c>
      <c r="C3021" t="s">
        <v>4941</v>
      </c>
      <c r="D3021">
        <v>0</v>
      </c>
      <c r="H3021">
        <f t="shared" si="47"/>
        <v>0</v>
      </c>
      <c r="L3021" t="s">
        <v>5</v>
      </c>
      <c r="X3021" t="s">
        <v>17</v>
      </c>
    </row>
    <row r="3022" spans="1:24" x14ac:dyDescent="0.25">
      <c r="A3022" t="s">
        <v>5251</v>
      </c>
      <c r="C3022" t="s">
        <v>4942</v>
      </c>
      <c r="D3022">
        <v>0</v>
      </c>
      <c r="E3022" t="s">
        <v>4943</v>
      </c>
      <c r="H3022" t="str">
        <f t="shared" si="47"/>
        <v>1 - Always draw view models, 2 - Never draw view models.  Should be done before map launches.</v>
      </c>
      <c r="L3022" t="s">
        <v>5</v>
      </c>
      <c r="X3022" t="s">
        <v>17</v>
      </c>
    </row>
    <row r="3023" spans="1:24" x14ac:dyDescent="0.25">
      <c r="A3023" t="s">
        <v>5251</v>
      </c>
      <c r="C3023" t="s">
        <v>4944</v>
      </c>
      <c r="D3023">
        <v>0</v>
      </c>
      <c r="E3023" t="s">
        <v>4945</v>
      </c>
      <c r="H3023" t="str">
        <f t="shared" si="47"/>
        <v>Toggle voice transmit and receive for casters. 0 = no caster, account number of caster to enable.</v>
      </c>
      <c r="I3023" t="s">
        <v>2</v>
      </c>
    </row>
    <row r="3024" spans="1:24" x14ac:dyDescent="0.25">
      <c r="A3024" t="s">
        <v>5251</v>
      </c>
      <c r="C3024" t="s">
        <v>4946</v>
      </c>
      <c r="D3024">
        <v>1</v>
      </c>
      <c r="E3024" t="s">
        <v>4947</v>
      </c>
      <c r="H3024" t="str">
        <f t="shared" si="47"/>
        <v>Caster Volume 0.0-1.0</v>
      </c>
      <c r="I3024" t="s">
        <v>2</v>
      </c>
    </row>
    <row r="3025" spans="1:24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H3025" t="str">
        <f t="shared" si="47"/>
        <v>Toggle voice transmit and receive.</v>
      </c>
      <c r="I3025" t="s">
        <v>2</v>
      </c>
    </row>
    <row r="3026" spans="1:24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  <c r="H3026" t="str">
        <f t="shared" si="47"/>
        <v>Toggles voice_enable convar.</v>
      </c>
    </row>
    <row r="3027" spans="1:24" x14ac:dyDescent="0.25">
      <c r="A3027" t="s">
        <v>5251</v>
      </c>
      <c r="C3027" t="s">
        <v>4952</v>
      </c>
      <c r="D3027">
        <v>1</v>
      </c>
      <c r="H3027">
        <f t="shared" si="47"/>
        <v>0</v>
      </c>
      <c r="I3027" t="s">
        <v>2</v>
      </c>
    </row>
    <row r="3028" spans="1:24" x14ac:dyDescent="0.25">
      <c r="A3028" t="s">
        <v>5251</v>
      </c>
      <c r="C3028" t="s">
        <v>4953</v>
      </c>
      <c r="D3028">
        <v>0</v>
      </c>
      <c r="E3028" t="s">
        <v>4954</v>
      </c>
      <c r="H3028" t="str">
        <f t="shared" si="47"/>
        <v>Get voice input from 'voice_input.wav' rather than from the microphone.</v>
      </c>
    </row>
    <row r="3029" spans="1:24" x14ac:dyDescent="0.25">
      <c r="A3029" t="s">
        <v>5251</v>
      </c>
      <c r="C3029" t="s">
        <v>4955</v>
      </c>
      <c r="D3029">
        <v>0</v>
      </c>
      <c r="H3029">
        <f t="shared" si="47"/>
        <v>0</v>
      </c>
      <c r="M3029" t="s">
        <v>6</v>
      </c>
    </row>
    <row r="3030" spans="1:24" x14ac:dyDescent="0.25">
      <c r="A3030" t="s">
        <v>5251</v>
      </c>
      <c r="C3030" t="s">
        <v>4956</v>
      </c>
      <c r="D3030">
        <v>0</v>
      </c>
      <c r="H3030">
        <f t="shared" si="47"/>
        <v>0</v>
      </c>
      <c r="I3030" t="s">
        <v>2</v>
      </c>
    </row>
    <row r="3031" spans="1:24" x14ac:dyDescent="0.25">
      <c r="A3031" t="s">
        <v>5251</v>
      </c>
      <c r="C3031" t="s">
        <v>4957</v>
      </c>
      <c r="D3031">
        <v>0</v>
      </c>
      <c r="H3031">
        <f t="shared" si="47"/>
        <v>0</v>
      </c>
      <c r="I3031" t="s">
        <v>2</v>
      </c>
    </row>
    <row r="3032" spans="1:24" x14ac:dyDescent="0.25">
      <c r="A3032" t="s">
        <v>5251</v>
      </c>
      <c r="C3032" t="s">
        <v>4958</v>
      </c>
      <c r="D3032">
        <v>1</v>
      </c>
      <c r="H3032">
        <f t="shared" si="47"/>
        <v>0</v>
      </c>
      <c r="I3032" t="s">
        <v>2</v>
      </c>
    </row>
    <row r="3033" spans="1:24" x14ac:dyDescent="0.25">
      <c r="A3033" t="s">
        <v>5251</v>
      </c>
      <c r="C3033" t="s">
        <v>4959</v>
      </c>
      <c r="D3033">
        <v>1</v>
      </c>
      <c r="E3033" t="s">
        <v>4960</v>
      </c>
      <c r="H3033" t="str">
        <f t="shared" si="47"/>
        <v>Enable/disable voice in this mod.</v>
      </c>
      <c r="I3033" t="s">
        <v>2</v>
      </c>
      <c r="W3033" t="s">
        <v>16</v>
      </c>
      <c r="X3033" t="s">
        <v>17</v>
      </c>
    </row>
    <row r="3034" spans="1:24" x14ac:dyDescent="0.25">
      <c r="A3034" t="s">
        <v>5251</v>
      </c>
      <c r="C3034" t="s">
        <v>4961</v>
      </c>
      <c r="D3034" t="s">
        <v>25</v>
      </c>
      <c r="E3034" t="s">
        <v>4962</v>
      </c>
      <c r="H3034" t="str">
        <f t="shared" si="47"/>
        <v>Mute a specific Steam user</v>
      </c>
    </row>
    <row r="3035" spans="1:24" x14ac:dyDescent="0.25">
      <c r="A3035" t="s">
        <v>5251</v>
      </c>
      <c r="C3035" t="s">
        <v>4963</v>
      </c>
      <c r="D3035">
        <v>0</v>
      </c>
      <c r="H3035">
        <f t="shared" si="47"/>
        <v>0</v>
      </c>
      <c r="K3035" t="s">
        <v>4</v>
      </c>
      <c r="L3035" t="s">
        <v>5</v>
      </c>
    </row>
    <row r="3036" spans="1:24" x14ac:dyDescent="0.25">
      <c r="A3036" t="s">
        <v>5251</v>
      </c>
      <c r="C3036" t="s">
        <v>4964</v>
      </c>
      <c r="D3036" t="s">
        <v>25</v>
      </c>
      <c r="H3036">
        <f t="shared" si="47"/>
        <v>0</v>
      </c>
    </row>
    <row r="3037" spans="1:24" x14ac:dyDescent="0.25">
      <c r="A3037" t="s">
        <v>5251</v>
      </c>
      <c r="C3037" t="s">
        <v>4965</v>
      </c>
      <c r="D3037">
        <v>0</v>
      </c>
      <c r="H3037">
        <f t="shared" si="47"/>
        <v>0</v>
      </c>
      <c r="I3037" t="s">
        <v>2</v>
      </c>
    </row>
    <row r="3038" spans="1:24" x14ac:dyDescent="0.25">
      <c r="A3038" t="s">
        <v>5251</v>
      </c>
      <c r="C3038" t="s">
        <v>4966</v>
      </c>
      <c r="D3038">
        <v>6</v>
      </c>
      <c r="H3038">
        <f t="shared" si="47"/>
        <v>0</v>
      </c>
    </row>
    <row r="3039" spans="1:24" x14ac:dyDescent="0.25">
      <c r="A3039" t="s">
        <v>5251</v>
      </c>
      <c r="C3039" t="s">
        <v>4967</v>
      </c>
      <c r="D3039">
        <v>0</v>
      </c>
      <c r="E3039" t="s">
        <v>4968</v>
      </c>
      <c r="H3039" t="str">
        <f t="shared" si="47"/>
        <v>Record mic data and decompressed voice data into 'voice_micdata.wav' and 'voice_decompressed.wav'</v>
      </c>
    </row>
    <row r="3040" spans="1:24" x14ac:dyDescent="0.25">
      <c r="A3040" t="s">
        <v>5251</v>
      </c>
      <c r="C3040" t="s">
        <v>4969</v>
      </c>
      <c r="D3040" t="s">
        <v>25</v>
      </c>
      <c r="E3040" t="s">
        <v>4970</v>
      </c>
      <c r="H3040" t="str">
        <f t="shared" si="47"/>
        <v>Reset all mute information for all players who were ever muted.</v>
      </c>
    </row>
    <row r="3041" spans="1:24" x14ac:dyDescent="0.25">
      <c r="A3041" t="s">
        <v>5251</v>
      </c>
      <c r="C3041" t="s">
        <v>4971</v>
      </c>
      <c r="D3041">
        <v>1</v>
      </c>
      <c r="E3041" t="s">
        <v>4972</v>
      </c>
      <c r="H3041" t="str">
        <f t="shared" si="47"/>
        <v>Overall volume of voice over IP 0.0-1.0</v>
      </c>
      <c r="I3041" t="s">
        <v>2</v>
      </c>
    </row>
    <row r="3042" spans="1:24" x14ac:dyDescent="0.25">
      <c r="A3042" t="s">
        <v>5251</v>
      </c>
      <c r="C3042" t="s">
        <v>4973</v>
      </c>
      <c r="D3042" t="s">
        <v>25</v>
      </c>
      <c r="E3042" t="s">
        <v>4974</v>
      </c>
      <c r="H3042" t="str">
        <f t="shared" si="47"/>
        <v>Show whether current players are muted.</v>
      </c>
    </row>
    <row r="3043" spans="1:24" x14ac:dyDescent="0.25">
      <c r="A3043" t="s">
        <v>5251</v>
      </c>
      <c r="C3043" t="s">
        <v>4975</v>
      </c>
      <c r="D3043">
        <v>1</v>
      </c>
      <c r="E3043" t="s">
        <v>4976</v>
      </c>
      <c r="H3043" t="str">
        <f t="shared" si="47"/>
        <v>Toggle voice system.</v>
      </c>
      <c r="I3043" t="s">
        <v>2</v>
      </c>
    </row>
    <row r="3044" spans="1:24" x14ac:dyDescent="0.25">
      <c r="A3044" t="s">
        <v>5251</v>
      </c>
      <c r="C3044" t="s">
        <v>4977</v>
      </c>
      <c r="D3044">
        <v>4000</v>
      </c>
      <c r="H3044">
        <f t="shared" si="47"/>
        <v>0</v>
      </c>
      <c r="I3044" t="s">
        <v>2</v>
      </c>
      <c r="X3044" t="s">
        <v>17</v>
      </c>
    </row>
    <row r="3045" spans="1:24" x14ac:dyDescent="0.25">
      <c r="A3045" t="s">
        <v>5251</v>
      </c>
      <c r="C3045" t="s">
        <v>4978</v>
      </c>
      <c r="D3045" t="s">
        <v>25</v>
      </c>
      <c r="E3045" t="s">
        <v>4979</v>
      </c>
      <c r="H3045" t="str">
        <f t="shared" si="47"/>
        <v>Unmute a specific Steam user, or `all` to unmute all connected players.</v>
      </c>
    </row>
    <row r="3046" spans="1:24" x14ac:dyDescent="0.25">
      <c r="A3046" t="s">
        <v>5251</v>
      </c>
      <c r="B3046" t="s">
        <v>5258</v>
      </c>
      <c r="C3046" t="s">
        <v>4980</v>
      </c>
      <c r="D3046" t="s">
        <v>25</v>
      </c>
      <c r="H3046">
        <f t="shared" si="47"/>
        <v>0</v>
      </c>
    </row>
    <row r="3047" spans="1:24" x14ac:dyDescent="0.25">
      <c r="A3047" t="s">
        <v>5251</v>
      </c>
      <c r="B3047" t="s">
        <v>5258</v>
      </c>
      <c r="C3047" t="s">
        <v>4981</v>
      </c>
      <c r="D3047" t="s">
        <v>25</v>
      </c>
      <c r="H3047">
        <f t="shared" si="47"/>
        <v>0</v>
      </c>
    </row>
    <row r="3048" spans="1:24" x14ac:dyDescent="0.25">
      <c r="A3048" t="s">
        <v>5253</v>
      </c>
      <c r="B3048" t="s">
        <v>5258</v>
      </c>
      <c r="C3048" t="s">
        <v>4982</v>
      </c>
      <c r="D3048" t="s">
        <v>25</v>
      </c>
      <c r="H3048">
        <f t="shared" si="47"/>
        <v>0</v>
      </c>
    </row>
    <row r="3049" spans="1:24" x14ac:dyDescent="0.25">
      <c r="A3049" t="s">
        <v>5251</v>
      </c>
      <c r="C3049" t="s">
        <v>4983</v>
      </c>
      <c r="D3049">
        <v>1</v>
      </c>
      <c r="E3049" t="s">
        <v>4984</v>
      </c>
      <c r="H3049" t="str">
        <f t="shared" si="47"/>
        <v>Sound volume</v>
      </c>
      <c r="I3049" t="s">
        <v>2</v>
      </c>
    </row>
    <row r="3050" spans="1:24" x14ac:dyDescent="0.25">
      <c r="A3050" t="s">
        <v>5251</v>
      </c>
      <c r="C3050" t="s">
        <v>4985</v>
      </c>
      <c r="D3050" t="s">
        <v>25</v>
      </c>
      <c r="E3050" t="s">
        <v>4986</v>
      </c>
      <c r="H3050" t="str">
        <f t="shared" si="47"/>
        <v>Reload sentences.txt file</v>
      </c>
    </row>
    <row r="3051" spans="1:24" x14ac:dyDescent="0.25">
      <c r="A3051" t="s">
        <v>5251</v>
      </c>
      <c r="C3051" t="s">
        <v>4987</v>
      </c>
      <c r="D3051" t="s">
        <v>25</v>
      </c>
      <c r="E3051" t="s">
        <v>4988</v>
      </c>
      <c r="H3051" t="str">
        <f t="shared" si="47"/>
        <v>View entities in the voxel-tree inside box &lt;Vector(min), Vector(max)&gt;.</v>
      </c>
    </row>
    <row r="3052" spans="1:24" x14ac:dyDescent="0.25">
      <c r="A3052" t="s">
        <v>5251</v>
      </c>
      <c r="C3052" t="s">
        <v>4989</v>
      </c>
      <c r="D3052" t="s">
        <v>25</v>
      </c>
      <c r="E3052" t="s">
        <v>4990</v>
      </c>
      <c r="H3052" t="str">
        <f t="shared" si="47"/>
        <v>View entities in the voxel-tree at the player position.</v>
      </c>
    </row>
    <row r="3053" spans="1:24" x14ac:dyDescent="0.25">
      <c r="A3053" t="s">
        <v>5251</v>
      </c>
      <c r="C3053" t="s">
        <v>4991</v>
      </c>
      <c r="D3053" t="s">
        <v>25</v>
      </c>
      <c r="E3053" t="s">
        <v>4992</v>
      </c>
      <c r="H3053" t="str">
        <f t="shared" si="47"/>
        <v>View entities in the voxel-tree inside sphere &lt;Vector(center), float(radius)&gt;.</v>
      </c>
    </row>
    <row r="3054" spans="1:24" x14ac:dyDescent="0.25">
      <c r="A3054" t="s">
        <v>5251</v>
      </c>
      <c r="C3054" t="s">
        <v>4993</v>
      </c>
      <c r="D3054" t="s">
        <v>25</v>
      </c>
      <c r="E3054" t="s">
        <v>4994</v>
      </c>
      <c r="H3054" t="str">
        <f t="shared" si="47"/>
        <v>View entities in the voxel-tree.</v>
      </c>
    </row>
    <row r="3055" spans="1:24" x14ac:dyDescent="0.25">
      <c r="A3055" t="s">
        <v>5251</v>
      </c>
      <c r="C3055" t="s">
        <v>4995</v>
      </c>
      <c r="D3055" t="s">
        <v>25</v>
      </c>
      <c r="E3055" t="s">
        <v>4996</v>
      </c>
      <c r="H3055" t="str">
        <f t="shared" si="47"/>
        <v>set sleep timeout: large values mean stuff won't ever sleep</v>
      </c>
    </row>
    <row r="3056" spans="1:24" x14ac:dyDescent="0.25">
      <c r="A3056" t="s">
        <v>5251</v>
      </c>
      <c r="C3056" t="s">
        <v>4997</v>
      </c>
      <c r="D3056" t="s">
        <v>25</v>
      </c>
      <c r="E3056" t="s">
        <v>4998</v>
      </c>
      <c r="H3056" t="str">
        <f t="shared" si="47"/>
        <v>Toggle VProf profiler</v>
      </c>
    </row>
    <row r="3057" spans="1:8" x14ac:dyDescent="0.25">
      <c r="A3057" t="s">
        <v>5251</v>
      </c>
      <c r="C3057" t="s">
        <v>4999</v>
      </c>
      <c r="D3057" t="s">
        <v>25</v>
      </c>
      <c r="E3057" t="s">
        <v>5000</v>
      </c>
      <c r="H3057" t="str">
        <f t="shared" si="47"/>
        <v>add a new budget group dynamically for debugging</v>
      </c>
    </row>
    <row r="3058" spans="1:8" x14ac:dyDescent="0.25">
      <c r="A3058" t="s">
        <v>5251</v>
      </c>
      <c r="C3058" t="s">
        <v>5001</v>
      </c>
      <c r="D3058" t="s">
        <v>25</v>
      </c>
      <c r="E3058" t="s">
        <v>5002</v>
      </c>
      <c r="H3058" t="str">
        <f t="shared" si="47"/>
        <v>Toggle VProf cache miss checking</v>
      </c>
    </row>
    <row r="3059" spans="1:8" x14ac:dyDescent="0.25">
      <c r="A3059" t="s">
        <v>5251</v>
      </c>
      <c r="C3059" t="s">
        <v>5003</v>
      </c>
      <c r="D3059" t="s">
        <v>25</v>
      </c>
      <c r="E3059" t="s">
        <v>5004</v>
      </c>
      <c r="H3059" t="str">
        <f t="shared" si="47"/>
        <v>Turn off VProf cache miss checking</v>
      </c>
    </row>
    <row r="3060" spans="1:8" x14ac:dyDescent="0.25">
      <c r="A3060" t="s">
        <v>5251</v>
      </c>
      <c r="C3060" t="s">
        <v>5005</v>
      </c>
      <c r="D3060" t="s">
        <v>25</v>
      </c>
      <c r="E3060" t="s">
        <v>5006</v>
      </c>
      <c r="H3060" t="str">
        <f t="shared" si="47"/>
        <v>Turn on VProf cache miss checking</v>
      </c>
    </row>
    <row r="3061" spans="1:8" x14ac:dyDescent="0.25">
      <c r="A3061" t="s">
        <v>5251</v>
      </c>
      <c r="C3061" t="s">
        <v>5007</v>
      </c>
      <c r="D3061" t="s">
        <v>25</v>
      </c>
      <c r="H3061">
        <f t="shared" si="47"/>
        <v>0</v>
      </c>
    </row>
    <row r="3062" spans="1:8" x14ac:dyDescent="0.25">
      <c r="A3062" t="s">
        <v>5251</v>
      </c>
      <c r="C3062" t="s">
        <v>5008</v>
      </c>
      <c r="D3062" t="s">
        <v>25</v>
      </c>
      <c r="E3062" t="s">
        <v>5009</v>
      </c>
      <c r="H3062" t="str">
        <f t="shared" si="47"/>
        <v>Collapse the whole vprof tree</v>
      </c>
    </row>
    <row r="3063" spans="1:8" x14ac:dyDescent="0.25">
      <c r="A3063" t="s">
        <v>5251</v>
      </c>
      <c r="C3063" t="s">
        <v>5010</v>
      </c>
      <c r="D3063" t="s">
        <v>25</v>
      </c>
      <c r="E3063" t="s">
        <v>5011</v>
      </c>
      <c r="H3063" t="str">
        <f t="shared" si="47"/>
        <v>Dump vprof counters to the console</v>
      </c>
    </row>
    <row r="3064" spans="1:8" x14ac:dyDescent="0.25">
      <c r="A3064" t="s">
        <v>5251</v>
      </c>
      <c r="C3064" t="s">
        <v>5012</v>
      </c>
      <c r="D3064" t="s">
        <v>25</v>
      </c>
      <c r="E3064" t="s">
        <v>5013</v>
      </c>
      <c r="H3064" t="str">
        <f t="shared" si="47"/>
        <v>Write the names of all of the vprof groups to the console.</v>
      </c>
    </row>
    <row r="3065" spans="1:8" x14ac:dyDescent="0.25">
      <c r="A3065" t="s">
        <v>5251</v>
      </c>
      <c r="C3065" t="s">
        <v>5014</v>
      </c>
      <c r="D3065" t="s">
        <v>25</v>
      </c>
      <c r="E3065" t="s">
        <v>5015</v>
      </c>
      <c r="H3065" t="str">
        <f t="shared" si="47"/>
        <v>Expand the whole vprof tree</v>
      </c>
    </row>
    <row r="3066" spans="1:8" x14ac:dyDescent="0.25">
      <c r="A3066" t="s">
        <v>5251</v>
      </c>
      <c r="C3066" t="s">
        <v>5016</v>
      </c>
      <c r="D3066" t="s">
        <v>25</v>
      </c>
      <c r="E3066" t="s">
        <v>5017</v>
      </c>
      <c r="H3066" t="str">
        <f t="shared" si="47"/>
        <v>Expand a budget group in the vprof tree by name</v>
      </c>
    </row>
    <row r="3067" spans="1:8" x14ac:dyDescent="0.25">
      <c r="A3067" t="s">
        <v>5251</v>
      </c>
      <c r="C3067" t="s">
        <v>5018</v>
      </c>
      <c r="D3067" t="s">
        <v>25</v>
      </c>
      <c r="E3067" t="s">
        <v>91</v>
      </c>
      <c r="H3067" t="str">
        <f t="shared" si="47"/>
        <v>Generate a report to the console.</v>
      </c>
    </row>
    <row r="3068" spans="1:8" x14ac:dyDescent="0.25">
      <c r="A3068" t="s">
        <v>5251</v>
      </c>
      <c r="C3068" t="s">
        <v>5019</v>
      </c>
      <c r="D3068" t="s">
        <v>25</v>
      </c>
      <c r="E3068" t="s">
        <v>91</v>
      </c>
      <c r="H3068" t="str">
        <f t="shared" si="47"/>
        <v>Generate a report to the console.</v>
      </c>
    </row>
    <row r="3069" spans="1:8" x14ac:dyDescent="0.25">
      <c r="A3069" t="s">
        <v>5251</v>
      </c>
      <c r="C3069" t="s">
        <v>5020</v>
      </c>
      <c r="D3069" t="s">
        <v>25</v>
      </c>
      <c r="E3069" t="s">
        <v>91</v>
      </c>
      <c r="H3069" t="str">
        <f t="shared" si="47"/>
        <v>Generate a report to the console.</v>
      </c>
    </row>
    <row r="3070" spans="1:8" x14ac:dyDescent="0.25">
      <c r="A3070" t="s">
        <v>5251</v>
      </c>
      <c r="C3070" t="s">
        <v>5021</v>
      </c>
      <c r="D3070" t="s">
        <v>25</v>
      </c>
      <c r="E3070" t="s">
        <v>5022</v>
      </c>
      <c r="H3070" t="str">
        <f t="shared" si="47"/>
        <v>Generate a report to the console based on budget group.</v>
      </c>
    </row>
    <row r="3071" spans="1:8" x14ac:dyDescent="0.25">
      <c r="A3071" t="s">
        <v>5251</v>
      </c>
      <c r="C3071" t="s">
        <v>5023</v>
      </c>
      <c r="D3071" t="s">
        <v>25</v>
      </c>
      <c r="E3071" t="s">
        <v>91</v>
      </c>
      <c r="H3071" t="str">
        <f t="shared" si="47"/>
        <v>Generate a report to the console.</v>
      </c>
    </row>
    <row r="3072" spans="1:8" x14ac:dyDescent="0.25">
      <c r="A3072" t="s">
        <v>5251</v>
      </c>
      <c r="C3072" t="s">
        <v>5024</v>
      </c>
      <c r="D3072" t="s">
        <v>25</v>
      </c>
      <c r="E3072" t="s">
        <v>5025</v>
      </c>
      <c r="H3072" t="str">
        <f t="shared" si="47"/>
        <v>Generate a minimal hiearchical report to the console.</v>
      </c>
    </row>
    <row r="3073" spans="1:9" x14ac:dyDescent="0.25">
      <c r="A3073" t="s">
        <v>5251</v>
      </c>
      <c r="C3073" t="s">
        <v>5026</v>
      </c>
      <c r="D3073" t="s">
        <v>25</v>
      </c>
      <c r="E3073" t="s">
        <v>91</v>
      </c>
      <c r="H3073" t="str">
        <f t="shared" si="47"/>
        <v>Generate a report to the console.</v>
      </c>
    </row>
    <row r="3074" spans="1:9" x14ac:dyDescent="0.25">
      <c r="A3074" t="s">
        <v>5251</v>
      </c>
      <c r="C3074" t="s">
        <v>5027</v>
      </c>
      <c r="D3074">
        <v>256</v>
      </c>
      <c r="H3074">
        <f t="shared" si="47"/>
        <v>0</v>
      </c>
      <c r="I3074" t="s">
        <v>2</v>
      </c>
    </row>
    <row r="3075" spans="1:9" x14ac:dyDescent="0.25">
      <c r="A3075" t="s">
        <v>5251</v>
      </c>
      <c r="C3075" t="s">
        <v>5028</v>
      </c>
      <c r="D3075">
        <v>512</v>
      </c>
      <c r="H3075">
        <f t="shared" ref="H3075:H3138" si="48">IF(F3075="",E3075, F3075 &amp; " - Original Helptext: " &amp;E3075)</f>
        <v>0</v>
      </c>
      <c r="I3075" t="s">
        <v>2</v>
      </c>
    </row>
    <row r="3076" spans="1:9" x14ac:dyDescent="0.25">
      <c r="A3076" t="s">
        <v>5251</v>
      </c>
      <c r="C3076" t="s">
        <v>5029</v>
      </c>
      <c r="D3076" t="s">
        <v>25</v>
      </c>
      <c r="H3076">
        <f t="shared" si="48"/>
        <v>0</v>
      </c>
    </row>
    <row r="3077" spans="1:9" x14ac:dyDescent="0.25">
      <c r="A3077" t="s">
        <v>5251</v>
      </c>
      <c r="C3077" t="s">
        <v>5030</v>
      </c>
      <c r="D3077" t="s">
        <v>25</v>
      </c>
      <c r="E3077" t="s">
        <v>5031</v>
      </c>
      <c r="H3077" t="str">
        <f t="shared" si="48"/>
        <v>Turn off VProf profiler</v>
      </c>
    </row>
    <row r="3078" spans="1:9" x14ac:dyDescent="0.25">
      <c r="A3078" t="s">
        <v>5251</v>
      </c>
      <c r="C3078" t="s">
        <v>5032</v>
      </c>
      <c r="D3078" t="s">
        <v>25</v>
      </c>
      <c r="E3078" t="s">
        <v>5033</v>
      </c>
      <c r="H3078" t="str">
        <f t="shared" si="48"/>
        <v>Turn on VProf profiler</v>
      </c>
    </row>
    <row r="3079" spans="1:9" x14ac:dyDescent="0.25">
      <c r="A3079" t="s">
        <v>5251</v>
      </c>
      <c r="C3079" t="s">
        <v>5034</v>
      </c>
      <c r="D3079" t="s">
        <v>25</v>
      </c>
      <c r="H3079">
        <f t="shared" si="48"/>
        <v>0</v>
      </c>
    </row>
    <row r="3080" spans="1:9" x14ac:dyDescent="0.25">
      <c r="A3080" t="s">
        <v>5251</v>
      </c>
      <c r="C3080" t="s">
        <v>5035</v>
      </c>
      <c r="D3080" t="s">
        <v>25</v>
      </c>
      <c r="E3080" t="s">
        <v>5036</v>
      </c>
      <c r="H3080" t="str">
        <f t="shared" si="48"/>
        <v>Average the next N frames.</v>
      </c>
    </row>
    <row r="3081" spans="1:9" x14ac:dyDescent="0.25">
      <c r="A3081" t="s">
        <v>5251</v>
      </c>
      <c r="C3081" t="s">
        <v>5037</v>
      </c>
      <c r="D3081" t="s">
        <v>25</v>
      </c>
      <c r="E3081" t="s">
        <v>5038</v>
      </c>
      <c r="H3081" t="str">
        <f t="shared" si="48"/>
        <v>Start playing back a recorded .vprof file.</v>
      </c>
    </row>
    <row r="3082" spans="1:9" x14ac:dyDescent="0.25">
      <c r="A3082" t="s">
        <v>5251</v>
      </c>
      <c r="C3082" t="s">
        <v>5039</v>
      </c>
      <c r="D3082" t="s">
        <v>25</v>
      </c>
      <c r="E3082" t="s">
        <v>5040</v>
      </c>
      <c r="H3082" t="str">
        <f t="shared" si="48"/>
        <v>While playing back a .vprof file, step to the next tick.</v>
      </c>
    </row>
    <row r="3083" spans="1:9" x14ac:dyDescent="0.25">
      <c r="A3083" t="s">
        <v>5251</v>
      </c>
      <c r="C3083" t="s">
        <v>5041</v>
      </c>
      <c r="D3083" t="s">
        <v>25</v>
      </c>
      <c r="E3083" t="s">
        <v>5042</v>
      </c>
      <c r="H3083" t="str">
        <f t="shared" si="48"/>
        <v>While playing back a .vprof file, step to the previous tick.</v>
      </c>
    </row>
    <row r="3084" spans="1:9" x14ac:dyDescent="0.25">
      <c r="A3084" t="s">
        <v>5251</v>
      </c>
      <c r="C3084" t="s">
        <v>5043</v>
      </c>
      <c r="D3084" t="s">
        <v>25</v>
      </c>
      <c r="E3084" t="s">
        <v>5044</v>
      </c>
      <c r="H3084" t="str">
        <f t="shared" si="48"/>
        <v>Stop playing back a recorded .vprof file.</v>
      </c>
    </row>
    <row r="3085" spans="1:9" x14ac:dyDescent="0.25">
      <c r="A3085" t="s">
        <v>5251</v>
      </c>
      <c r="C3085" t="s">
        <v>5045</v>
      </c>
      <c r="D3085" t="s">
        <v>25</v>
      </c>
      <c r="H3085">
        <f t="shared" si="48"/>
        <v>0</v>
      </c>
    </row>
    <row r="3086" spans="1:9" x14ac:dyDescent="0.25">
      <c r="A3086" t="s">
        <v>5251</v>
      </c>
      <c r="C3086" t="s">
        <v>5046</v>
      </c>
      <c r="D3086" t="s">
        <v>25</v>
      </c>
      <c r="E3086" t="s">
        <v>5047</v>
      </c>
      <c r="H3086" t="str">
        <f t="shared" si="48"/>
        <v>Start recording vprof data for playback later.</v>
      </c>
    </row>
    <row r="3087" spans="1:9" x14ac:dyDescent="0.25">
      <c r="A3087" t="s">
        <v>5251</v>
      </c>
      <c r="C3087" t="s">
        <v>5048</v>
      </c>
      <c r="D3087" t="s">
        <v>25</v>
      </c>
      <c r="E3087" t="s">
        <v>5049</v>
      </c>
      <c r="H3087" t="str">
        <f t="shared" si="48"/>
        <v>Stop recording vprof data</v>
      </c>
    </row>
    <row r="3088" spans="1:9" x14ac:dyDescent="0.25">
      <c r="A3088" t="s">
        <v>5251</v>
      </c>
      <c r="C3088" t="s">
        <v>5050</v>
      </c>
      <c r="D3088" t="s">
        <v>25</v>
      </c>
      <c r="E3088" t="s">
        <v>5051</v>
      </c>
      <c r="H3088" t="str">
        <f t="shared" si="48"/>
        <v>Request a VProf data stream from the remote server (requires authentication)</v>
      </c>
    </row>
    <row r="3089" spans="1:9" x14ac:dyDescent="0.25">
      <c r="A3089" t="s">
        <v>5251</v>
      </c>
      <c r="C3089" t="s">
        <v>5052</v>
      </c>
      <c r="D3089" t="s">
        <v>25</v>
      </c>
      <c r="E3089" t="s">
        <v>5053</v>
      </c>
      <c r="H3089" t="str">
        <f t="shared" si="48"/>
        <v>Stop an existing remote VProf data request</v>
      </c>
    </row>
    <row r="3090" spans="1:9" x14ac:dyDescent="0.25">
      <c r="A3090" t="s">
        <v>5251</v>
      </c>
      <c r="C3090" t="s">
        <v>5054</v>
      </c>
      <c r="D3090" t="s">
        <v>25</v>
      </c>
      <c r="E3090" t="s">
        <v>5055</v>
      </c>
      <c r="H3090" t="str">
        <f t="shared" si="48"/>
        <v>Reset the stats in VProf profiler</v>
      </c>
    </row>
    <row r="3091" spans="1:9" x14ac:dyDescent="0.25">
      <c r="A3091" t="s">
        <v>5251</v>
      </c>
      <c r="C3091" t="s">
        <v>5056</v>
      </c>
      <c r="D3091" t="s">
        <v>25</v>
      </c>
      <c r="E3091" t="s">
        <v>5057</v>
      </c>
      <c r="H3091" t="str">
        <f t="shared" si="48"/>
        <v>Reset just the peak time in VProf profiler</v>
      </c>
    </row>
    <row r="3092" spans="1:9" x14ac:dyDescent="0.25">
      <c r="A3092" t="s">
        <v>5251</v>
      </c>
      <c r="C3092" t="s">
        <v>5058</v>
      </c>
      <c r="D3092" t="s">
        <v>25</v>
      </c>
      <c r="E3092" t="s">
        <v>5059</v>
      </c>
      <c r="H3092" t="str">
        <f t="shared" si="48"/>
        <v>Convert a recorded .vprof file to .csv.</v>
      </c>
    </row>
    <row r="3093" spans="1:9" x14ac:dyDescent="0.25">
      <c r="A3093" t="s">
        <v>5251</v>
      </c>
      <c r="C3093" t="s">
        <v>5060</v>
      </c>
      <c r="D3093">
        <v>0</v>
      </c>
      <c r="E3093" t="s">
        <v>5061</v>
      </c>
      <c r="H3093" t="str">
        <f t="shared" si="48"/>
        <v>number of milliseconds that a node must exceed to turn red in the vprof panel</v>
      </c>
      <c r="I3093" t="s">
        <v>2</v>
      </c>
    </row>
    <row r="3094" spans="1:9" x14ac:dyDescent="0.25">
      <c r="A3094" t="s">
        <v>5251</v>
      </c>
      <c r="C3094" t="s">
        <v>5062</v>
      </c>
      <c r="D3094">
        <v>1</v>
      </c>
      <c r="E3094" t="s">
        <v>5063</v>
      </c>
      <c r="H3094" t="str">
        <f t="shared" si="48"/>
        <v>Set to one to show average and peak times</v>
      </c>
      <c r="I3094" t="s">
        <v>2</v>
      </c>
    </row>
    <row r="3095" spans="1:9" x14ac:dyDescent="0.25">
      <c r="A3095" t="s">
        <v>5251</v>
      </c>
      <c r="C3095" t="s">
        <v>5064</v>
      </c>
      <c r="D3095" t="s">
        <v>25</v>
      </c>
      <c r="E3095" t="s">
        <v>5065</v>
      </c>
      <c r="H3095" t="str">
        <f t="shared" si="48"/>
        <v>enable vtune for a particular vprof group ('disable' to disable)</v>
      </c>
    </row>
    <row r="3096" spans="1:9" x14ac:dyDescent="0.25">
      <c r="A3096" t="s">
        <v>5251</v>
      </c>
      <c r="C3096" t="s">
        <v>5066</v>
      </c>
      <c r="D3096">
        <v>10</v>
      </c>
      <c r="E3096" t="s">
        <v>5067</v>
      </c>
      <c r="H3096" t="str">
        <f t="shared" si="48"/>
        <v>Above this many milliseconds render the label red to indicate slow code.</v>
      </c>
      <c r="I3096" t="s">
        <v>2</v>
      </c>
    </row>
    <row r="3097" spans="1:9" x14ac:dyDescent="0.25">
      <c r="A3097" t="s">
        <v>5251</v>
      </c>
      <c r="C3097" t="s">
        <v>5068</v>
      </c>
      <c r="D3097" t="s">
        <v>25</v>
      </c>
      <c r="E3097" t="s">
        <v>5069</v>
      </c>
      <c r="H3097" t="str">
        <f t="shared" si="48"/>
        <v>Controls VTune's sampling.</v>
      </c>
    </row>
    <row r="3098" spans="1:9" x14ac:dyDescent="0.25">
      <c r="A3098" t="s">
        <v>5251</v>
      </c>
      <c r="C3098" t="s">
        <v>5070</v>
      </c>
      <c r="D3098" t="s">
        <v>25</v>
      </c>
      <c r="E3098" t="s">
        <v>5071</v>
      </c>
      <c r="H3098" t="str">
        <f t="shared" si="48"/>
        <v>Dump models to VXConsole</v>
      </c>
    </row>
    <row r="3099" spans="1:9" x14ac:dyDescent="0.25">
      <c r="A3099" t="s">
        <v>5251</v>
      </c>
      <c r="B3099" t="s">
        <v>25</v>
      </c>
      <c r="C3099" t="s">
        <v>5072</v>
      </c>
      <c r="D3099" t="s">
        <v>25</v>
      </c>
      <c r="H3099">
        <f t="shared" si="48"/>
        <v>0</v>
      </c>
    </row>
    <row r="3100" spans="1:9" x14ac:dyDescent="0.25">
      <c r="A3100" t="s">
        <v>5251</v>
      </c>
      <c r="B3100" t="s">
        <v>25</v>
      </c>
      <c r="C3100" t="s">
        <v>5073</v>
      </c>
      <c r="D3100" t="s">
        <v>25</v>
      </c>
      <c r="H3100">
        <f t="shared" si="48"/>
        <v>0</v>
      </c>
    </row>
    <row r="3101" spans="1:9" x14ac:dyDescent="0.25">
      <c r="A3101" t="s">
        <v>5251</v>
      </c>
      <c r="C3101" t="s">
        <v>5074</v>
      </c>
      <c r="D3101" t="s">
        <v>25</v>
      </c>
      <c r="E3101" t="s">
        <v>5075</v>
      </c>
      <c r="H3101" t="str">
        <f t="shared" si="48"/>
        <v>When in WC edit mode and editing air nodes,  moves position of air node crosshair and placement location further away from play</v>
      </c>
    </row>
    <row r="3102" spans="1:9" x14ac:dyDescent="0.25">
      <c r="A3102" t="s">
        <v>5251</v>
      </c>
      <c r="C3102" t="s">
        <v>5076</v>
      </c>
      <c r="D3102" t="s">
        <v>25</v>
      </c>
      <c r="E3102" t="s">
        <v>5077</v>
      </c>
      <c r="H3102" t="str">
        <f t="shared" si="48"/>
        <v>When in WC edit mode and editing air nodes,  moves position of air node crosshair and placement location nearer to from player</v>
      </c>
    </row>
    <row r="3103" spans="1:9" x14ac:dyDescent="0.25">
      <c r="A3103" t="s">
        <v>5251</v>
      </c>
      <c r="C3103" t="s">
        <v>5078</v>
      </c>
      <c r="D3103" t="s">
        <v>25</v>
      </c>
      <c r="E3103" t="s">
        <v>5079</v>
      </c>
      <c r="H3103" t="str">
        <f t="shared" si="48"/>
        <v>When in WC edit mode, toggles laying down or air nodes instead of ground nodes</v>
      </c>
    </row>
    <row r="3104" spans="1:9" x14ac:dyDescent="0.25">
      <c r="A3104" t="s">
        <v>5251</v>
      </c>
      <c r="C3104" t="s">
        <v>5080</v>
      </c>
      <c r="D3104" t="s">
        <v>25</v>
      </c>
      <c r="E3104" t="s">
        <v>5081</v>
      </c>
      <c r="H3104" t="str">
        <f t="shared" si="48"/>
        <v>When in WC edit mode, creates a node where the player is looking if a node is allowed at that location for the currently select</v>
      </c>
    </row>
    <row r="3105" spans="1:25" x14ac:dyDescent="0.25">
      <c r="A3105" t="s">
        <v>5251</v>
      </c>
      <c r="C3105" t="s">
        <v>5082</v>
      </c>
      <c r="D3105" t="s">
        <v>25</v>
      </c>
      <c r="E3105" t="s">
        <v>5083</v>
      </c>
      <c r="H3105" t="str">
        <f t="shared" si="48"/>
        <v>When in WC edit mode, destroys the node that the player is nearest to looking at.  (The node will be highlighted by a red box).</v>
      </c>
    </row>
    <row r="3106" spans="1:25" x14ac:dyDescent="0.25">
      <c r="A3106" t="s">
        <v>5251</v>
      </c>
      <c r="C3106" t="s">
        <v>5084</v>
      </c>
      <c r="D3106" t="s">
        <v>25</v>
      </c>
      <c r="E3106" t="s">
        <v>5085</v>
      </c>
      <c r="H3106" t="str">
        <f t="shared" si="48"/>
        <v>When in WC edit mode restores the last deleted node</v>
      </c>
    </row>
    <row r="3107" spans="1:25" x14ac:dyDescent="0.25">
      <c r="A3107" t="s">
        <v>5251</v>
      </c>
      <c r="C3107" t="s">
        <v>5086</v>
      </c>
      <c r="D3107" t="s">
        <v>25</v>
      </c>
      <c r="H3107">
        <f t="shared" si="48"/>
        <v>0</v>
      </c>
    </row>
    <row r="3108" spans="1:25" x14ac:dyDescent="0.25">
      <c r="A3108" t="s">
        <v>5251</v>
      </c>
      <c r="C3108" t="s">
        <v>5087</v>
      </c>
      <c r="D3108">
        <v>0</v>
      </c>
      <c r="E3108" t="s">
        <v>5088</v>
      </c>
      <c r="H3108" t="str">
        <f t="shared" si="48"/>
        <v>Force spread to the specified value.</v>
      </c>
      <c r="S3108" t="s">
        <v>12</v>
      </c>
      <c r="X3108" t="s">
        <v>17</v>
      </c>
    </row>
    <row r="3109" spans="1:25" x14ac:dyDescent="0.25">
      <c r="A3109" t="s">
        <v>5251</v>
      </c>
      <c r="C3109" t="s">
        <v>5089</v>
      </c>
      <c r="D3109">
        <v>0</v>
      </c>
      <c r="E3109" t="s">
        <v>5090</v>
      </c>
      <c r="H3109" t="str">
        <f t="shared" si="48"/>
        <v>Disable weapon inaccuracy spread</v>
      </c>
      <c r="S3109" t="s">
        <v>12</v>
      </c>
      <c r="X3109" t="s">
        <v>17</v>
      </c>
    </row>
    <row r="3110" spans="1:25" x14ac:dyDescent="0.25">
      <c r="A3110" t="s">
        <v>5251</v>
      </c>
      <c r="C3110" t="s">
        <v>5091</v>
      </c>
      <c r="D3110">
        <v>0</v>
      </c>
      <c r="E3110" t="s">
        <v>5092</v>
      </c>
      <c r="H3110" t="str">
        <f t="shared" si="48"/>
        <v>On deploy, forcibly reset weapon accuracy to zero.</v>
      </c>
      <c r="L3110" t="s">
        <v>5</v>
      </c>
      <c r="S3110" t="s">
        <v>12</v>
      </c>
      <c r="X3110" t="s">
        <v>17</v>
      </c>
    </row>
    <row r="3111" spans="1:25" x14ac:dyDescent="0.25">
      <c r="A3111" t="s">
        <v>5251</v>
      </c>
      <c r="C3111" t="s">
        <v>5093</v>
      </c>
      <c r="D3111">
        <v>1</v>
      </c>
      <c r="H3111">
        <f t="shared" si="48"/>
        <v>0</v>
      </c>
      <c r="S3111" t="s">
        <v>12</v>
      </c>
      <c r="X3111" t="s">
        <v>17</v>
      </c>
    </row>
    <row r="3112" spans="1:25" x14ac:dyDescent="0.25">
      <c r="A3112" t="s">
        <v>5251</v>
      </c>
      <c r="C3112" t="s">
        <v>5094</v>
      </c>
      <c r="D3112">
        <v>1</v>
      </c>
      <c r="E3112" t="s">
        <v>5095</v>
      </c>
      <c r="H3112" t="str">
        <f t="shared" si="48"/>
        <v>Scale factor for jumping inaccuracy, set to 0 to make jumping accuracy equal to standing</v>
      </c>
      <c r="S3112" t="s">
        <v>12</v>
      </c>
      <c r="X3112" t="s">
        <v>17</v>
      </c>
    </row>
    <row r="3113" spans="1:25" x14ac:dyDescent="0.25">
      <c r="A3113" t="s">
        <v>5251</v>
      </c>
      <c r="C3113" t="s">
        <v>5096</v>
      </c>
      <c r="D3113">
        <v>0</v>
      </c>
      <c r="E3113" t="s">
        <v>5097</v>
      </c>
      <c r="H3113" t="str">
        <f t="shared" si="48"/>
        <v>If set to non-zero, weapons will delete themselves after the specified time (in seconds) if no players are near.</v>
      </c>
      <c r="X3113" t="s">
        <v>17</v>
      </c>
    </row>
    <row r="3114" spans="1:25" x14ac:dyDescent="0.25">
      <c r="A3114" t="s">
        <v>5251</v>
      </c>
      <c r="C3114" t="s">
        <v>5098</v>
      </c>
      <c r="D3114">
        <v>0</v>
      </c>
      <c r="H3114">
        <f t="shared" si="48"/>
        <v>0</v>
      </c>
      <c r="L3114" t="s">
        <v>5</v>
      </c>
      <c r="X3114" t="s">
        <v>17</v>
      </c>
      <c r="Y3114" t="s">
        <v>18</v>
      </c>
    </row>
    <row r="3115" spans="1:25" x14ac:dyDescent="0.25">
      <c r="A3115" t="s">
        <v>5251</v>
      </c>
      <c r="C3115" t="s">
        <v>5099</v>
      </c>
      <c r="D3115">
        <v>0</v>
      </c>
      <c r="E3115" t="s">
        <v>5100</v>
      </c>
      <c r="H3115" t="str">
        <f t="shared" si="48"/>
        <v>Enables display of weapon accuracy; 1: show accuracy box, 3: show accuracy with dynamic crosshair</v>
      </c>
      <c r="L3115" t="s">
        <v>5</v>
      </c>
      <c r="X3115" t="s">
        <v>17</v>
      </c>
      <c r="Y3115" t="s">
        <v>18</v>
      </c>
    </row>
    <row r="3116" spans="1:25" x14ac:dyDescent="0.25">
      <c r="A3116" t="s">
        <v>5251</v>
      </c>
      <c r="C3116" t="s">
        <v>5101</v>
      </c>
      <c r="D3116">
        <v>0</v>
      </c>
      <c r="E3116" t="s">
        <v>5102</v>
      </c>
      <c r="H3116" t="str">
        <f t="shared" si="48"/>
        <v>If set to non-zero, will remove the oldest dropped weapon to maintain the specified number of dropped weapons in the world.</v>
      </c>
      <c r="X3116" t="s">
        <v>17</v>
      </c>
    </row>
    <row r="3117" spans="1:25" x14ac:dyDescent="0.25">
      <c r="A3117" t="s">
        <v>5251</v>
      </c>
      <c r="C3117" t="s">
        <v>5103</v>
      </c>
      <c r="D3117">
        <v>1</v>
      </c>
      <c r="H3117">
        <f t="shared" si="48"/>
        <v>0</v>
      </c>
      <c r="L3117" t="s">
        <v>5</v>
      </c>
      <c r="S3117" t="s">
        <v>12</v>
      </c>
      <c r="X3117" t="s">
        <v>17</v>
      </c>
    </row>
    <row r="3118" spans="1:25" x14ac:dyDescent="0.25">
      <c r="A3118" t="s">
        <v>5251</v>
      </c>
      <c r="C3118" t="s">
        <v>5104</v>
      </c>
      <c r="D3118">
        <v>0</v>
      </c>
      <c r="E3118" t="s">
        <v>5105</v>
      </c>
      <c r="H3118" t="str">
        <f t="shared" si="48"/>
        <v>DEPRECATED. Recoil now decays using weapon_recoil_decay_coefficient</v>
      </c>
      <c r="L3118" t="s">
        <v>5</v>
      </c>
      <c r="S3118" t="s">
        <v>12</v>
      </c>
      <c r="X3118" t="s">
        <v>17</v>
      </c>
    </row>
    <row r="3119" spans="1:25" x14ac:dyDescent="0.25">
      <c r="A3119" t="s">
        <v>5251</v>
      </c>
      <c r="C3119" t="s">
        <v>5106</v>
      </c>
      <c r="D3119">
        <v>3</v>
      </c>
      <c r="E3119" t="s">
        <v>5107</v>
      </c>
      <c r="H3119" t="str">
        <f t="shared" si="48"/>
        <v>Decay factor exponent for weapon recoil</v>
      </c>
      <c r="L3119" t="s">
        <v>5</v>
      </c>
      <c r="S3119" t="s">
        <v>12</v>
      </c>
      <c r="X3119" t="s">
        <v>17</v>
      </c>
    </row>
    <row r="3120" spans="1:25" x14ac:dyDescent="0.25">
      <c r="A3120" t="s">
        <v>5251</v>
      </c>
      <c r="C3120" t="s">
        <v>5108</v>
      </c>
      <c r="D3120">
        <v>8</v>
      </c>
      <c r="E3120" t="s">
        <v>5107</v>
      </c>
      <c r="H3120" t="str">
        <f t="shared" si="48"/>
        <v>Decay factor exponent for weapon recoil</v>
      </c>
      <c r="L3120" t="s">
        <v>5</v>
      </c>
      <c r="S3120" t="s">
        <v>12</v>
      </c>
      <c r="X3120" t="s">
        <v>17</v>
      </c>
    </row>
    <row r="3121" spans="1:24" x14ac:dyDescent="0.25">
      <c r="A3121" t="s">
        <v>5251</v>
      </c>
      <c r="C3121" t="s">
        <v>5109</v>
      </c>
      <c r="D3121">
        <v>18</v>
      </c>
      <c r="E3121" t="s">
        <v>5110</v>
      </c>
      <c r="H3121" t="str">
        <f t="shared" si="48"/>
        <v>Decay factor (linear term) for weapon recoil</v>
      </c>
      <c r="L3121" t="s">
        <v>5</v>
      </c>
      <c r="S3121" t="s">
        <v>12</v>
      </c>
      <c r="X3121" t="s">
        <v>17</v>
      </c>
    </row>
    <row r="3122" spans="1:24" x14ac:dyDescent="0.25">
      <c r="A3122" t="s">
        <v>5251</v>
      </c>
      <c r="C3122" t="s">
        <v>5111</v>
      </c>
      <c r="D3122">
        <v>2</v>
      </c>
      <c r="H3122">
        <f t="shared" si="48"/>
        <v>0</v>
      </c>
      <c r="L3122" t="s">
        <v>5</v>
      </c>
      <c r="S3122" t="s">
        <v>12</v>
      </c>
      <c r="X3122" t="s">
        <v>17</v>
      </c>
    </row>
    <row r="3123" spans="1:24" x14ac:dyDescent="0.25">
      <c r="A3123" t="s">
        <v>5251</v>
      </c>
      <c r="C3123" t="s">
        <v>5112</v>
      </c>
      <c r="D3123">
        <v>2</v>
      </c>
      <c r="E3123" t="s">
        <v>5113</v>
      </c>
      <c r="H3123" t="str">
        <f t="shared" si="48"/>
        <v>Overall scale factor for recoil. Used to reduce recoil on specific platforms</v>
      </c>
      <c r="S3123" t="s">
        <v>12</v>
      </c>
      <c r="X3123" t="s">
        <v>17</v>
      </c>
    </row>
    <row r="3124" spans="1:24" x14ac:dyDescent="0.25">
      <c r="A3124" t="s">
        <v>5251</v>
      </c>
      <c r="C3124" t="s">
        <v>5114</v>
      </c>
      <c r="D3124">
        <v>1</v>
      </c>
      <c r="E3124" t="s">
        <v>5115</v>
      </c>
      <c r="H3124" t="str">
        <f t="shared" si="48"/>
        <v>Overall scale factor for recoil. Used to reduce recoil.  Only for motion controllers</v>
      </c>
      <c r="L3124" t="s">
        <v>5</v>
      </c>
      <c r="S3124" t="s">
        <v>12</v>
      </c>
      <c r="X3124" t="s">
        <v>17</v>
      </c>
    </row>
    <row r="3125" spans="1:24" x14ac:dyDescent="0.25">
      <c r="A3125" t="s">
        <v>5251</v>
      </c>
      <c r="C3125" t="s">
        <v>5116</v>
      </c>
      <c r="D3125">
        <v>0</v>
      </c>
      <c r="E3125" t="s">
        <v>5117</v>
      </c>
      <c r="H3125" t="str">
        <f t="shared" si="48"/>
        <v>Initial recoil suppression factor (first suppressed shot will use this factor * standard recoil, lerping to 1 for later shots</v>
      </c>
      <c r="L3125" t="s">
        <v>5</v>
      </c>
      <c r="S3125" t="s">
        <v>12</v>
      </c>
      <c r="X3125" t="s">
        <v>17</v>
      </c>
    </row>
    <row r="3126" spans="1:24" x14ac:dyDescent="0.25">
      <c r="A3126" t="s">
        <v>5251</v>
      </c>
      <c r="C3126" t="s">
        <v>5118</v>
      </c>
      <c r="D3126">
        <v>4</v>
      </c>
      <c r="E3126" t="s">
        <v>5119</v>
      </c>
      <c r="H3126" t="str">
        <f t="shared" si="48"/>
        <v>Number of shots before weapon uses full recoil</v>
      </c>
      <c r="L3126" t="s">
        <v>5</v>
      </c>
      <c r="S3126" t="s">
        <v>12</v>
      </c>
      <c r="X3126" t="s">
        <v>17</v>
      </c>
    </row>
    <row r="3127" spans="1:24" x14ac:dyDescent="0.25">
      <c r="A3127" t="s">
        <v>5251</v>
      </c>
      <c r="C3127" t="s">
        <v>5120</v>
      </c>
      <c r="D3127">
        <v>0</v>
      </c>
      <c r="E3127" t="s">
        <v>5121</v>
      </c>
      <c r="H3127" t="str">
        <f t="shared" si="48"/>
        <v>Amount of variance per recoil impulse</v>
      </c>
      <c r="L3127" t="s">
        <v>5</v>
      </c>
      <c r="S3127" t="s">
        <v>12</v>
      </c>
      <c r="X3127" t="s">
        <v>17</v>
      </c>
    </row>
    <row r="3128" spans="1:24" x14ac:dyDescent="0.25">
      <c r="A3128" t="s">
        <v>5251</v>
      </c>
      <c r="C3128" t="s">
        <v>5122</v>
      </c>
      <c r="D3128">
        <v>4</v>
      </c>
      <c r="E3128" t="s">
        <v>5123</v>
      </c>
      <c r="H3128" t="str">
        <f t="shared" si="48"/>
        <v>Decay factor for weapon recoil velocity</v>
      </c>
      <c r="L3128" t="s">
        <v>5</v>
      </c>
      <c r="S3128" t="s">
        <v>12</v>
      </c>
      <c r="X3128" t="s">
        <v>17</v>
      </c>
    </row>
    <row r="3129" spans="1:24" x14ac:dyDescent="0.25">
      <c r="A3129" t="s">
        <v>5251</v>
      </c>
      <c r="C3129" t="s">
        <v>5124</v>
      </c>
      <c r="D3129">
        <v>0</v>
      </c>
      <c r="E3129" t="s">
        <v>5125</v>
      </c>
      <c r="H3129" t="str">
        <f t="shared" si="48"/>
        <v>Additional (non-aim) punch added to view from recoil</v>
      </c>
      <c r="L3129" t="s">
        <v>5</v>
      </c>
      <c r="S3129" t="s">
        <v>12</v>
      </c>
      <c r="X3129" t="s">
        <v>17</v>
      </c>
    </row>
    <row r="3130" spans="1:24" x14ac:dyDescent="0.25">
      <c r="A3130" t="s">
        <v>5251</v>
      </c>
      <c r="C3130" t="s">
        <v>5126</v>
      </c>
      <c r="D3130">
        <v>1</v>
      </c>
      <c r="E3130" t="s">
        <v>5127</v>
      </c>
      <c r="H3130" t="str">
        <f t="shared" si="48"/>
        <v>When enabled will show knife reticle on clients. Used for game modes requiring target id display when holding a knife.</v>
      </c>
      <c r="S3130" t="s">
        <v>12</v>
      </c>
      <c r="X3130" t="s">
        <v>17</v>
      </c>
    </row>
    <row r="3131" spans="1:24" x14ac:dyDescent="0.25">
      <c r="A3131" t="s">
        <v>5251</v>
      </c>
      <c r="C3131" t="s">
        <v>5128</v>
      </c>
      <c r="D3131">
        <v>1</v>
      </c>
      <c r="E3131" t="s">
        <v>5129</v>
      </c>
      <c r="H3131" t="str">
        <f t="shared" si="48"/>
        <v>Scaling for falloff of weapon firing sounds</v>
      </c>
      <c r="L3131" t="s">
        <v>5</v>
      </c>
      <c r="S3131" t="s">
        <v>12</v>
      </c>
      <c r="X3131" t="s">
        <v>17</v>
      </c>
    </row>
    <row r="3132" spans="1:24" x14ac:dyDescent="0.25">
      <c r="A3132" t="s">
        <v>5251</v>
      </c>
      <c r="C3132" t="s">
        <v>5130</v>
      </c>
      <c r="D3132" t="s">
        <v>25</v>
      </c>
      <c r="E3132" t="s">
        <v>5131</v>
      </c>
      <c r="H3132" t="str">
        <f t="shared" si="48"/>
        <v>Runs a whitelisted command.</v>
      </c>
    </row>
    <row r="3133" spans="1:24" x14ac:dyDescent="0.25">
      <c r="A3133" t="s">
        <v>5251</v>
      </c>
      <c r="C3133" t="s">
        <v>5132</v>
      </c>
      <c r="D3133" t="s">
        <v>25</v>
      </c>
      <c r="E3133" t="s">
        <v>5133</v>
      </c>
      <c r="H3133" t="str">
        <f t="shared" si="48"/>
        <v>Clear all nav attributes of selected area.</v>
      </c>
    </row>
    <row r="3134" spans="1:24" x14ac:dyDescent="0.25">
      <c r="A3134" t="s">
        <v>5251</v>
      </c>
      <c r="C3134" t="s">
        <v>5134</v>
      </c>
      <c r="D3134" t="s">
        <v>25</v>
      </c>
      <c r="E3134" t="s">
        <v>5135</v>
      </c>
      <c r="H3134" t="str">
        <f t="shared" si="48"/>
        <v>Bring up the Workshop Publish dialog.</v>
      </c>
    </row>
    <row r="3135" spans="1:24" x14ac:dyDescent="0.25">
      <c r="A3135" t="s">
        <v>5251</v>
      </c>
      <c r="C3135" t="s">
        <v>5136</v>
      </c>
      <c r="D3135" t="s">
        <v>25</v>
      </c>
      <c r="E3135" t="s">
        <v>5137</v>
      </c>
      <c r="H3135" t="str">
        <f t="shared" si="48"/>
        <v>Sets the first map to load once a workshop collection been hosted. Takes the file id of desired start map as a parameter.</v>
      </c>
    </row>
    <row r="3136" spans="1:24" x14ac:dyDescent="0.25">
      <c r="A3136" t="s">
        <v>5251</v>
      </c>
      <c r="C3136" t="s">
        <v>5138</v>
      </c>
      <c r="D3136" t="s">
        <v>25</v>
      </c>
      <c r="E3136" t="s">
        <v>5139</v>
      </c>
      <c r="H3136" t="str">
        <f t="shared" si="48"/>
        <v>Bring up the Workshop workbench dialog.</v>
      </c>
    </row>
    <row r="3137" spans="1:25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  <c r="H3137" t="str">
        <f t="shared" si="48"/>
        <v>Writes a list of permanently-banned user IDs to banned_user.cfg.</v>
      </c>
    </row>
    <row r="3138" spans="1:25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  <c r="H3138" t="str">
        <f t="shared" si="48"/>
        <v>Save the ban list to banned_ip.cfg.</v>
      </c>
    </row>
    <row r="3139" spans="1:25" x14ac:dyDescent="0.25">
      <c r="A3139" t="s">
        <v>5251</v>
      </c>
      <c r="C3139" t="s">
        <v>5144</v>
      </c>
      <c r="D3139">
        <v>1</v>
      </c>
      <c r="H3139">
        <f t="shared" ref="H3139:H3153" si="49">IF(F3139="",E3139, F3139 &amp; " - Original Helptext: " &amp;E3139)</f>
        <v>0</v>
      </c>
      <c r="I3139" t="s">
        <v>2</v>
      </c>
      <c r="K3139" t="s">
        <v>4</v>
      </c>
    </row>
    <row r="3140" spans="1:25" x14ac:dyDescent="0.25">
      <c r="A3140" t="s">
        <v>5251</v>
      </c>
      <c r="C3140" t="s">
        <v>5145</v>
      </c>
      <c r="D3140">
        <v>100</v>
      </c>
      <c r="H3140">
        <f t="shared" si="49"/>
        <v>0</v>
      </c>
      <c r="I3140" t="s">
        <v>2</v>
      </c>
      <c r="K3140" t="s">
        <v>4</v>
      </c>
    </row>
    <row r="3141" spans="1:25" x14ac:dyDescent="0.25">
      <c r="A3141" t="s">
        <v>5251</v>
      </c>
      <c r="C3141" t="s">
        <v>5146</v>
      </c>
      <c r="D3141">
        <v>200</v>
      </c>
      <c r="H3141">
        <f t="shared" si="49"/>
        <v>0</v>
      </c>
      <c r="I3141" t="s">
        <v>2</v>
      </c>
      <c r="K3141" t="s">
        <v>4</v>
      </c>
    </row>
    <row r="3142" spans="1:25" x14ac:dyDescent="0.25">
      <c r="A3142" t="s">
        <v>5251</v>
      </c>
      <c r="C3142" t="s">
        <v>5147</v>
      </c>
      <c r="D3142" t="s">
        <v>25</v>
      </c>
      <c r="E3142" t="s">
        <v>5148</v>
      </c>
      <c r="H3142" t="str">
        <f t="shared" si="49"/>
        <v>Load a saved game from a console storage device.</v>
      </c>
    </row>
    <row r="3143" spans="1:25" x14ac:dyDescent="0.25">
      <c r="A3143" t="s">
        <v>5251</v>
      </c>
      <c r="C3143" t="s">
        <v>5149</v>
      </c>
      <c r="D3143" t="s">
        <v>25</v>
      </c>
      <c r="H3143">
        <f t="shared" si="49"/>
        <v>0</v>
      </c>
    </row>
    <row r="3144" spans="1:25" x14ac:dyDescent="0.25">
      <c r="A3144" t="s">
        <v>5251</v>
      </c>
      <c r="C3144" t="s">
        <v>5150</v>
      </c>
      <c r="D3144" t="s">
        <v>25</v>
      </c>
      <c r="H3144">
        <f t="shared" si="49"/>
        <v>0</v>
      </c>
    </row>
    <row r="3145" spans="1:25" x14ac:dyDescent="0.25">
      <c r="A3145" t="s">
        <v>5251</v>
      </c>
      <c r="C3145" t="s">
        <v>5151</v>
      </c>
      <c r="D3145" t="s">
        <v>25</v>
      </c>
      <c r="E3145" t="s">
        <v>5152</v>
      </c>
      <c r="H3145" t="str">
        <f t="shared" si="49"/>
        <v>Saves current game to a console storage device.</v>
      </c>
    </row>
    <row r="3146" spans="1:25" x14ac:dyDescent="0.25">
      <c r="A3146" t="s">
        <v>5251</v>
      </c>
      <c r="B3146" t="s">
        <v>25</v>
      </c>
      <c r="C3146" t="s">
        <v>5153</v>
      </c>
      <c r="D3146" t="s">
        <v>25</v>
      </c>
      <c r="H3146">
        <f t="shared" si="49"/>
        <v>0</v>
      </c>
    </row>
    <row r="3147" spans="1:25" x14ac:dyDescent="0.25">
      <c r="A3147" t="s">
        <v>5251</v>
      </c>
      <c r="B3147" t="s">
        <v>25</v>
      </c>
      <c r="C3147" t="s">
        <v>5154</v>
      </c>
      <c r="D3147" t="s">
        <v>25</v>
      </c>
      <c r="H3147">
        <f t="shared" si="49"/>
        <v>0</v>
      </c>
    </row>
    <row r="3148" spans="1:25" x14ac:dyDescent="0.25">
      <c r="A3148" t="s">
        <v>5251</v>
      </c>
      <c r="B3148" t="s">
        <v>25</v>
      </c>
      <c r="C3148" t="s">
        <v>5155</v>
      </c>
      <c r="D3148" t="s">
        <v>25</v>
      </c>
      <c r="H3148">
        <f t="shared" si="49"/>
        <v>0</v>
      </c>
    </row>
    <row r="3149" spans="1:25" x14ac:dyDescent="0.25">
      <c r="A3149" t="s">
        <v>5251</v>
      </c>
      <c r="B3149" t="s">
        <v>25</v>
      </c>
      <c r="C3149" t="s">
        <v>5156</v>
      </c>
      <c r="D3149" t="s">
        <v>25</v>
      </c>
      <c r="H3149">
        <f t="shared" si="49"/>
        <v>0</v>
      </c>
    </row>
    <row r="3150" spans="1:25" x14ac:dyDescent="0.25">
      <c r="A3150" t="s">
        <v>5251</v>
      </c>
      <c r="B3150" t="s">
        <v>25</v>
      </c>
      <c r="C3150" t="s">
        <v>5157</v>
      </c>
      <c r="D3150" t="s">
        <v>25</v>
      </c>
      <c r="H3150">
        <f t="shared" si="49"/>
        <v>0</v>
      </c>
    </row>
    <row r="3151" spans="1:25" x14ac:dyDescent="0.25">
      <c r="A3151" t="s">
        <v>5251</v>
      </c>
      <c r="B3151" t="s">
        <v>25</v>
      </c>
      <c r="C3151" t="s">
        <v>5158</v>
      </c>
      <c r="D3151" t="s">
        <v>25</v>
      </c>
      <c r="H3151">
        <f t="shared" si="49"/>
        <v>0</v>
      </c>
    </row>
    <row r="3152" spans="1:25" x14ac:dyDescent="0.25">
      <c r="A3152" t="s">
        <v>5251</v>
      </c>
      <c r="C3152" t="s">
        <v>5159</v>
      </c>
      <c r="D3152">
        <v>1</v>
      </c>
      <c r="E3152" t="s">
        <v>5160</v>
      </c>
      <c r="H3152" t="str">
        <f t="shared" si="49"/>
        <v>Additional controller sensitivity scale factor applied when FOV is zoomed in.</v>
      </c>
      <c r="I3152" t="s">
        <v>2</v>
      </c>
      <c r="X3152" t="s">
        <v>17</v>
      </c>
      <c r="Y3152" t="s">
        <v>18</v>
      </c>
    </row>
    <row r="3153" spans="1:25" x14ac:dyDescent="0.25">
      <c r="A3153" t="s">
        <v>5251</v>
      </c>
      <c r="C3153" t="s">
        <v>5161</v>
      </c>
      <c r="D3153">
        <v>1</v>
      </c>
      <c r="E3153" t="s">
        <v>5232</v>
      </c>
      <c r="H3153" t="str">
        <f t="shared" si="49"/>
        <v xml:space="preserve">Additional mouse sensitivity scale factor applied when FOV is zoomed in. </v>
      </c>
      <c r="I3153" t="s">
        <v>2</v>
      </c>
      <c r="X3153" t="s">
        <v>17</v>
      </c>
      <c r="Y3153" t="s">
        <v>18</v>
      </c>
    </row>
  </sheetData>
  <autoFilter ref="A1:AA3153" xr:uid="{00000000-0009-0000-0000-000000000000}"/>
  <conditionalFormatting sqref="C1:C1048576">
    <cfRule type="duplicateValues" dxfId="40" priority="2"/>
  </conditionalFormatting>
  <conditionalFormatting sqref="F2693:G2693">
    <cfRule type="expression" dxfId="39" priority="1">
      <formula>_xlfn.ISFORMULA(F2693)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8"/>
  <sheetViews>
    <sheetView workbookViewId="0">
      <selection activeCell="A6" sqref="A6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5514</v>
      </c>
    </row>
    <row r="6" spans="1:2" x14ac:dyDescent="0.25">
      <c r="A6" t="s">
        <v>4087</v>
      </c>
      <c r="B6" t="s">
        <v>5495</v>
      </c>
    </row>
    <row r="7" spans="1:2" x14ac:dyDescent="0.25">
      <c r="A7" t="s">
        <v>4768</v>
      </c>
      <c r="B7" t="s">
        <v>5493</v>
      </c>
    </row>
    <row r="8" spans="1:2" x14ac:dyDescent="0.25">
      <c r="A8" t="s">
        <v>3934</v>
      </c>
      <c r="B8" t="s">
        <v>5497</v>
      </c>
    </row>
  </sheetData>
  <conditionalFormatting sqref="B2">
    <cfRule type="expression" dxfId="38" priority="4">
      <formula>_xlfn.ISFORMULA(B2)</formula>
    </cfRule>
  </conditionalFormatting>
  <conditionalFormatting sqref="A5:A6">
    <cfRule type="duplicateValues" dxfId="37" priority="3"/>
  </conditionalFormatting>
  <conditionalFormatting sqref="A7">
    <cfRule type="duplicateValues" dxfId="36" priority="2"/>
  </conditionalFormatting>
  <conditionalFormatting sqref="A8">
    <cfRule type="duplicateValues" dxfId="35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61"/>
  <sheetViews>
    <sheetView tabSelected="1" topLeftCell="E18" workbookViewId="0">
      <selection activeCell="F2" sqref="F2:F54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D2" t="str">
        <f>IF(OR(A2="",A2="//"),"",IFERROR(VLOOKUP($A2,'cvars&amp;commands'!$C:$AB,6,FALSE),""))</f>
        <v/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D3" t="str">
        <f>IF(OR(A3="",A3="//"),"",IFERROR(VLOOKUP($A3,'cvars&amp;commands'!$C:$AB,6,FALSE),""))</f>
        <v/>
      </c>
      <c r="F3" s="2" t="str">
        <f t="shared" ref="F3:F46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D4" t="str">
        <f>IF(OR(A4="",A4="//"),"",IFERROR(VLOOKUP($A4,'cvars&amp;commands'!$C:$AB,6,FALSE),""))</f>
        <v/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D5" t="str">
        <f>IF(OR(A5="",A5="//"),"",IFERROR(VLOOKUP($A5,'cvars&amp;commands'!$C:$AB,6,FALSE),""))</f>
        <v/>
      </c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95</v>
      </c>
      <c r="B10" t="s">
        <v>5496</v>
      </c>
      <c r="D10" t="s">
        <v>5507</v>
      </c>
      <c r="F10" s="2" t="str">
        <f t="shared" si="0"/>
        <v>alias config_versions "cv_autoexec; cv_server;cv_gamemode_casual_server"    // Prints the versions of the relevant config files to the screen</v>
      </c>
    </row>
    <row r="11" spans="1:6" x14ac:dyDescent="0.25">
      <c r="A11" s="4" t="s">
        <v>95</v>
      </c>
      <c r="B11" t="s">
        <v>5506</v>
      </c>
      <c r="D11" t="s">
        <v>5503</v>
      </c>
      <c r="F11" s="2" t="str">
        <f t="shared" si="0"/>
        <v>alias cv_autoexec "say autoexec.cfg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1507</v>
      </c>
      <c r="B13" t="s">
        <v>5241</v>
      </c>
      <c r="D13" t="str">
        <f>IF(OR(A13="",A13="//"),"",IFERROR(VLOOKUP($A13,'cvars&amp;commands'!$C:$AB,6,FALSE),""))</f>
        <v>Hostname for server.</v>
      </c>
      <c r="F13" s="2" t="str">
        <f t="shared" si="0"/>
        <v>hostname "Planet KiF CS:GO Dedicated Server"      // Hostname for server.</v>
      </c>
    </row>
    <row r="14" spans="1:6" x14ac:dyDescent="0.25">
      <c r="A14" s="4" t="s">
        <v>4389</v>
      </c>
      <c r="B14" t="s">
        <v>5270</v>
      </c>
      <c r="D14" t="str">
        <f>IF(OR(A14="",A14="//"),"",IFERROR(VLOOKUP($A14,'cvars&amp;commands'!$C:$AB,6,FALSE),""))</f>
        <v>Server password for entry into multiplayer games</v>
      </c>
      <c r="F14" s="2" t="str">
        <f t="shared" si="0"/>
        <v>sv_password "%SERVER_PASSWORD%"                   // Server password for entry into multiplayer games</v>
      </c>
    </row>
    <row r="15" spans="1:6" x14ac:dyDescent="0.25">
      <c r="A15" s="4" t="s">
        <v>3454</v>
      </c>
      <c r="B15" t="s">
        <v>5271</v>
      </c>
      <c r="D15" t="str">
        <f>IF(OR(A15="",A15="//"),"",IFERROR(VLOOKUP($A15,'cvars&amp;commands'!$C:$AB,6,FALSE),""))</f>
        <v>remote console password.</v>
      </c>
      <c r="F15" s="2" t="str">
        <f t="shared" si="0"/>
        <v>rcon_password "%RCON_PASSWORD%"                   // remote console password.</v>
      </c>
    </row>
    <row r="16" spans="1:6" x14ac:dyDescent="0.25">
      <c r="A16" s="4" t="s">
        <v>4524</v>
      </c>
      <c r="B16" t="s">
        <v>5234</v>
      </c>
      <c r="D16" t="str">
        <f>IF(OR(A16="",A16="//"),"",IFERROR(VLOOKUP($A16,'cvars&amp;commands'!$C:$AB,6,FALSE),""))</f>
        <v>Server tags. Used to provide extra information to clients when they're browsing for servers. Separate tags with a comma.</v>
      </c>
      <c r="F16" s="2" t="str">
        <f t="shared" si="0"/>
        <v>sv_tags kif                                       // Server tags. Used to provide extra information to clients when they're browsing for servers. Separate tags with a comma.</v>
      </c>
    </row>
    <row r="17" spans="1:6" x14ac:dyDescent="0.25">
      <c r="A17" s="4" t="s">
        <v>4431</v>
      </c>
      <c r="B17" t="s">
        <v>5240</v>
      </c>
      <c r="C17">
        <f>IFERROR(VLOOKUP($A17,'cvars&amp;commands'!$C:$AB,2,FALSE),"")</f>
        <v>-1</v>
      </c>
      <c r="D17" t="str">
        <f>IF(OR(A17="",A17="//"),"",IFERROR(VLOOKUP($A17,'cvars&amp;commands'!$C:$AB,6,FALSE),""))</f>
        <v>The region of the world to report this server in.</v>
      </c>
      <c r="F17" s="2" t="str">
        <f t="shared" si="0"/>
        <v>sv_region "3"                                     // The region of the world to report this server in. (Default: -1)</v>
      </c>
    </row>
    <row r="18" spans="1:6" x14ac:dyDescent="0.25">
      <c r="A18" t="s">
        <v>4455</v>
      </c>
      <c r="B18" t="s">
        <v>5272</v>
      </c>
      <c r="D18" t="str">
        <f>IF(OR(A18="",A18="//"),"",IFERROR(VLOOKUP($A18,'cvars&amp;commands'!$C:$AB,6,FALSE),""))</f>
        <v>token Set game server account token to use for logging in to a persistent game server account</v>
      </c>
      <c r="F18" s="2" t="str">
        <f t="shared" si="0"/>
        <v>sv_setsteamaccount "%STEAM_ACCOUNT%"              // token Set game server account token to use for logging in to a persistent game server account</v>
      </c>
    </row>
    <row r="19" spans="1:6" x14ac:dyDescent="0.25">
      <c r="A19"/>
      <c r="F19" s="2" t="str">
        <f t="shared" si="0"/>
        <v/>
      </c>
    </row>
    <row r="20" spans="1:6" x14ac:dyDescent="0.25">
      <c r="A20" s="4" t="s">
        <v>4093</v>
      </c>
      <c r="B20">
        <v>0</v>
      </c>
      <c r="C20">
        <f>IFERROR(VLOOKUP($A20,'cvars&amp;commands'!$C:$AB,2,FALSE),"")</f>
        <v>0</v>
      </c>
      <c r="D20" t="str">
        <f>IF(OR(A20="",A20="//"),"",IFERROR(VLOOKUP($A20,'cvars&amp;commands'!$C:$AB,6,FALSE),""))</f>
        <v>Allow cheats on server</v>
      </c>
      <c r="F20" s="2" t="str">
        <f t="shared" si="0"/>
        <v>sv_cheats 0                                       // Allow cheats on server (Default: 0)</v>
      </c>
    </row>
    <row r="21" spans="1:6" x14ac:dyDescent="0.25">
      <c r="A21" s="4" t="s">
        <v>4296</v>
      </c>
      <c r="B21">
        <v>0</v>
      </c>
      <c r="C21">
        <f>IFERROR(VLOOKUP($A21,'cvars&amp;commands'!$C:$AB,2,FALSE),"")</f>
        <v>0</v>
      </c>
      <c r="D21" t="str">
        <f>IF(OR(A21="",A21="//"),"",IFERROR(VLOOKUP($A21,'cvars&amp;commands'!$C:$AB,6,FALSE),""))</f>
        <v>Server is a lan server ( no heartbeat, no authentication, no non-class C addresses )</v>
      </c>
      <c r="F21" s="2" t="str">
        <f t="shared" si="0"/>
        <v>sv_lan 0                                          // Server is a lan server ( no heartbeat, no authentication, no non-class C addresses ) (Default: 0)</v>
      </c>
    </row>
    <row r="22" spans="1:6" x14ac:dyDescent="0.25">
      <c r="A22" s="4" t="s">
        <v>4399</v>
      </c>
      <c r="B22">
        <v>1</v>
      </c>
      <c r="D22" t="str">
        <f>IF(OR(A22="",A22="//"),"",IFERROR(VLOOKUP($A22,'cvars&amp;commands'!$C:$AB,6,FALSE),""))</f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  <c r="F22" s="2" t="str">
        <f t="shared" si="0"/>
        <v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3" spans="1:6" x14ac:dyDescent="0.25">
      <c r="A23" s="4" t="s">
        <v>4407</v>
      </c>
      <c r="B23">
        <v>0</v>
      </c>
      <c r="C23">
        <f>IFERROR(VLOOKUP($A23,'cvars&amp;commands'!$C:$AB,2,FALSE),"")</f>
        <v>1</v>
      </c>
      <c r="D23" t="str">
        <f>IF(OR(A23="",A23="//"),"",IFERROR(VLOOKUP($A23,'cvars&amp;commands'!$C:$AB,6,FALSE),""))</f>
        <v>If set to 1, the server will kick clients with mismatching files. Otherwise, it will issue a warning to the client.</v>
      </c>
      <c r="F23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4" spans="1:6" x14ac:dyDescent="0.25">
      <c r="C24" t="str">
        <f>IFERROR(VLOOKUP($A24,'cvars&amp;commands'!$C:$AB,2,FALSE),"")</f>
        <v/>
      </c>
      <c r="D24" t="str">
        <f>IF(OR(A24="",A24="//"),"",IFERROR(VLOOKUP($A24,'cvars&amp;commands'!$C:$AB,6,FALSE),""))</f>
        <v/>
      </c>
      <c r="F24" s="2" t="str">
        <f t="shared" si="0"/>
        <v/>
      </c>
    </row>
    <row r="25" spans="1:6" x14ac:dyDescent="0.25">
      <c r="A25" s="4" t="s">
        <v>4037</v>
      </c>
      <c r="B25">
        <v>1</v>
      </c>
      <c r="C25">
        <f>IFERROR(VLOOKUP($A25,'cvars&amp;commands'!$C:$AB,2,FALSE),"")</f>
        <v>1</v>
      </c>
      <c r="D25" t="str">
        <f>IF(OR(A25="",A25="//"),"",IFERROR(VLOOKUP($A25,'cvars&amp;commands'!$C:$AB,6,FALSE),""))</f>
        <v>Allow voting?</v>
      </c>
      <c r="F25" s="2" t="str">
        <f t="shared" si="0"/>
        <v>sv_allow_votes 1                                  // Allow voting? (Default: 1)</v>
      </c>
    </row>
    <row r="26" spans="1:6" x14ac:dyDescent="0.25">
      <c r="A26" s="4" t="s">
        <v>4121</v>
      </c>
      <c r="B26">
        <v>1</v>
      </c>
      <c r="C26">
        <f>IFERROR(VLOOKUP($A26,'cvars&amp;commands'!$C:$AB,2,FALSE),"")</f>
        <v>1</v>
      </c>
      <c r="D26" t="str">
        <f>IF(OR(A26="",A26="//"),"",IFERROR(VLOOKUP($A26,'cvars&amp;commands'!$C:$AB,6,FALSE),""))</f>
        <v>Turn this off to disable the player's damage feed in the console after getting killed.</v>
      </c>
      <c r="F26" s="2" t="str">
        <f t="shared" si="0"/>
        <v>sv_damage_print_enable 1                          // Turn this off to disable the player's damage feed in the console after getting killed. (Default: 1)</v>
      </c>
    </row>
    <row r="27" spans="1:6" x14ac:dyDescent="0.25">
      <c r="A27" s="4" t="s">
        <v>4053</v>
      </c>
      <c r="B27">
        <v>1</v>
      </c>
      <c r="C27">
        <f>IFERROR(VLOOKUP($A27,'cvars&amp;commands'!$C:$AB,2,FALSE),"")</f>
        <v>1</v>
      </c>
      <c r="D27" t="str">
        <f>IF(OR(A27="",A27="//"),"",IFERROR(VLOOKUP($A27,'cvars&amp;commands'!$C:$AB,6,FALSE),""))</f>
        <v>When enabled will automatically turn on full all talk mode in warmup, at halftime and at the end of the match</v>
      </c>
      <c r="F27" s="2" t="str">
        <f t="shared" si="0"/>
        <v>sv_auto_full_alltalk_during_warmup_half_end 1     // When enabled will automatically turn on full all talk mode in warmup, at halftime and at the end of the match (Default: 1)</v>
      </c>
    </row>
    <row r="28" spans="1:6" x14ac:dyDescent="0.25">
      <c r="C28" t="str">
        <f>IFERROR(VLOOKUP($A28,'cvars&amp;commands'!$C:$AB,2,FALSE),"")</f>
        <v/>
      </c>
      <c r="D28" t="str">
        <f>IF(OR(A28="",A28="//"),"",IFERROR(VLOOKUP($A28,'cvars&amp;commands'!$C:$AB,6,FALSE),""))</f>
        <v/>
      </c>
      <c r="F28" s="2" t="str">
        <f t="shared" si="0"/>
        <v/>
      </c>
    </row>
    <row r="29" spans="1:6" x14ac:dyDescent="0.25">
      <c r="A29" s="4" t="s">
        <v>4373</v>
      </c>
      <c r="B29">
        <v>64</v>
      </c>
      <c r="C29">
        <f>IFERROR(VLOOKUP($A29,'cvars&amp;commands'!$C:$AB,2,FALSE),"")</f>
        <v>128</v>
      </c>
      <c r="D29" t="str">
        <f>IF(OR(A29="",A29="//"),"",IFERROR(VLOOKUP($A29,'cvars&amp;commands'!$C:$AB,6,FALSE),""))</f>
        <v>Minimum updates per second that the server will allow</v>
      </c>
      <c r="F29" s="2" t="str">
        <f t="shared" si="0"/>
        <v>sv_minupdaterate 64                               // Minimum updates per second that the server will allow (Default: 128)</v>
      </c>
    </row>
    <row r="30" spans="1:6" x14ac:dyDescent="0.25">
      <c r="A30" s="4" t="s">
        <v>4369</v>
      </c>
      <c r="B30">
        <v>64</v>
      </c>
      <c r="C30">
        <f>IFERROR(VLOOKUP($A30,'cvars&amp;commands'!$C:$AB,2,FALSE),"")</f>
        <v>128</v>
      </c>
      <c r="D30" t="str">
        <f>IF(OR(A30="",A30="//"),"",IFERROR(VLOOKUP($A30,'cvars&amp;commands'!$C:$AB,6,FALSE),""))</f>
        <v>This sets the minimum value for cl_cmdrate. 0 == unlimited.</v>
      </c>
      <c r="F30" s="2" t="str">
        <f t="shared" si="0"/>
        <v>sv_mincmdrate 64                                  // This sets the minimum value for cl_cmdrate. 0 == unlimited. (Default: 128)</v>
      </c>
    </row>
    <row r="31" spans="1:6" x14ac:dyDescent="0.25">
      <c r="F31" s="2" t="str">
        <f t="shared" si="0"/>
        <v/>
      </c>
    </row>
    <row r="32" spans="1:6" x14ac:dyDescent="0.25">
      <c r="A32" s="4" t="s">
        <v>1228</v>
      </c>
      <c r="B32" t="s">
        <v>5243</v>
      </c>
      <c r="D32" t="str">
        <f>IF(OR(A32="",A32="//"),"",IFERROR(VLOOKUP($A32,'cvars&amp;commands'!$C:$AB,6,FALSE),""))</f>
        <v>Execute script file.</v>
      </c>
      <c r="F32" s="2" t="str">
        <f t="shared" si="0"/>
        <v>exec banned_user.cfg                              // Execute script file.</v>
      </c>
    </row>
    <row r="33" spans="1:6" x14ac:dyDescent="0.25">
      <c r="A33" s="4" t="s">
        <v>1228</v>
      </c>
      <c r="B33" t="s">
        <v>5244</v>
      </c>
      <c r="D33" t="str">
        <f>IF(OR(A33="",A33="//"),"",IFERROR(VLOOKUP($A33,'cvars&amp;commands'!$C:$AB,6,FALSE),""))</f>
        <v>Execute script file.</v>
      </c>
      <c r="F33" s="2" t="str">
        <f t="shared" si="0"/>
        <v>exec banned_ip.cfg                                // Execute script file.</v>
      </c>
    </row>
    <row r="34" spans="1:6" x14ac:dyDescent="0.25">
      <c r="A34" s="4" t="s">
        <v>1228</v>
      </c>
      <c r="B34" t="s">
        <v>5508</v>
      </c>
      <c r="D34" t="str">
        <f>IF(OR(A34="",A34="//"),"",IFERROR(VLOOKUP($A34,'cvars&amp;commands'!$C:$AB,6,FALSE),""))</f>
        <v>Execute script file.</v>
      </c>
      <c r="F34" s="2" t="str">
        <f t="shared" si="0"/>
        <v>exec kif_commands.cfg                             // Execute script file.</v>
      </c>
    </row>
    <row r="35" spans="1:6" x14ac:dyDescent="0.25">
      <c r="A35" s="4" t="s">
        <v>1228</v>
      </c>
      <c r="B35" t="s">
        <v>5510</v>
      </c>
      <c r="D35" t="s">
        <v>5511</v>
      </c>
      <c r="F35" s="2" t="str">
        <f t="shared" si="0"/>
        <v>exec mapchange.cfg                                // Execute the mapchange convenience aliases. Create the file with `csgenmapchange`</v>
      </c>
    </row>
    <row r="36" spans="1:6" x14ac:dyDescent="0.25">
      <c r="D36" t="str">
        <f>IF(OR(A36="",A36="//"),"",IFERROR(VLOOKUP($A36,'cvars&amp;commands'!$C:$AB,6,FALSE),""))</f>
        <v/>
      </c>
      <c r="F36" s="2" t="str">
        <f t="shared" si="0"/>
        <v/>
      </c>
    </row>
    <row r="37" spans="1:6" x14ac:dyDescent="0.25">
      <c r="A37" s="4" t="s">
        <v>5239</v>
      </c>
      <c r="B37" t="str">
        <f>REPT("*",120)</f>
        <v>************************************************************************************************************************</v>
      </c>
      <c r="D37" t="str">
        <f>IF(OR(A37="",A37="//"),"",IFERROR(VLOOKUP($A37,'cvars&amp;commands'!$C:$AB,6,FALSE),""))</f>
        <v/>
      </c>
      <c r="F37" s="2" t="str">
        <f t="shared" si="0"/>
        <v xml:space="preserve">// ************************************************************************************************************************    </v>
      </c>
    </row>
    <row r="38" spans="1:6" x14ac:dyDescent="0.25">
      <c r="A38" s="4" t="s">
        <v>5239</v>
      </c>
      <c r="B38" t="s">
        <v>5246</v>
      </c>
      <c r="D38" t="str">
        <f>IF(OR(A38="",A38="//"),"",IFERROR(VLOOKUP($A38,'cvars&amp;commands'!$C:$AB,6,FALSE),""))</f>
        <v/>
      </c>
      <c r="F38" s="2" t="str">
        <f t="shared" si="0"/>
        <v xml:space="preserve">// Logging                                        </v>
      </c>
    </row>
    <row r="39" spans="1:6" x14ac:dyDescent="0.25">
      <c r="A39" s="4" t="s">
        <v>5239</v>
      </c>
      <c r="B39" t="str">
        <f>REPT("*",120)</f>
        <v>************************************************************************************************************************</v>
      </c>
      <c r="D39" t="str">
        <f>IF(OR(A39="",A39="//"),"",IFERROR(VLOOKUP($A39,'cvars&amp;commands'!$C:$AB,6,FALSE),""))</f>
        <v/>
      </c>
      <c r="F39" s="2" t="str">
        <f t="shared" si="0"/>
        <v xml:space="preserve">// ************************************************************************************************************************    </v>
      </c>
    </row>
    <row r="40" spans="1:6" x14ac:dyDescent="0.25">
      <c r="A40" s="4" t="s">
        <v>1720</v>
      </c>
      <c r="B40" t="s">
        <v>5245</v>
      </c>
      <c r="D40" t="str">
        <f>IF(OR(A40="",A40="//"),"",IFERROR(VLOOKUP($A40,'cvars&amp;commands'!$C:$AB,6,FALSE),""))</f>
        <v>Enables logging to file, console, and udp &lt; on | off &gt;.</v>
      </c>
      <c r="F40" s="2" t="str">
        <f t="shared" si="0"/>
        <v>log on                                            // Enables logging to file, console, and udp &lt; on | off &gt;.</v>
      </c>
    </row>
    <row r="41" spans="1:6" x14ac:dyDescent="0.25">
      <c r="A41" s="4" t="s">
        <v>2340</v>
      </c>
      <c r="B41">
        <v>3</v>
      </c>
      <c r="C41">
        <f>IFERROR(VLOOKUP($A41,'cvars&amp;commands'!$C:$AB,2,FALSE),"")</f>
        <v>0</v>
      </c>
      <c r="D41" t="str">
        <f>IF(OR(A41="",A41="//"),"",IFERROR(VLOOKUP($A41,'cvars&amp;commands'!$C:$AB,6,FALSE),""))</f>
        <v>Logs attacks.  Values are: 0=off, 1=enemy, 2=teammate, 3=both)</v>
      </c>
      <c r="F41" s="2" t="str">
        <f t="shared" si="0"/>
        <v>mp_logdetail 3                                    // Logs attacks.  Values are: 0=off, 1=enemy, 2=teammate, 3=both) (Default: 0)</v>
      </c>
    </row>
    <row r="42" spans="1:6" x14ac:dyDescent="0.25">
      <c r="A42" s="4" t="s">
        <v>4315</v>
      </c>
      <c r="B42">
        <v>1</v>
      </c>
      <c r="C42">
        <f>IFERROR(VLOOKUP($A42,'cvars&amp;commands'!$C:$AB,2,FALSE),"")</f>
        <v>1</v>
      </c>
      <c r="D42" t="str">
        <f>IF(OR(A42="",A42="//"),"",IFERROR(VLOOKUP($A42,'cvars&amp;commands'!$C:$AB,6,FALSE),""))</f>
        <v>Log server information in the log file.</v>
      </c>
      <c r="F42" s="2" t="str">
        <f t="shared" si="0"/>
        <v>sv_logfile 1                                      // Log server information in the log file. (Default: 1)</v>
      </c>
    </row>
    <row r="43" spans="1:6" x14ac:dyDescent="0.25">
      <c r="A43" s="4" t="s">
        <v>4319</v>
      </c>
      <c r="B43" t="s">
        <v>5247</v>
      </c>
      <c r="D43" t="str">
        <f>IF(OR(A43="",A43="//"),"",IFERROR(VLOOKUP($A43,'cvars&amp;commands'!$C:$AB,6,FALSE),""))</f>
        <v>Folder in the game directory where server logs will be stored.</v>
      </c>
      <c r="F43" s="2" t="str">
        <f t="shared" si="0"/>
        <v>sv_logsdir "logs"                                 // Folder in the game directory where server logs will be stored.</v>
      </c>
    </row>
    <row r="44" spans="1:6" x14ac:dyDescent="0.25">
      <c r="A44" s="4" t="s">
        <v>1730</v>
      </c>
      <c r="B44" t="s">
        <v>5494</v>
      </c>
      <c r="D44" t="str">
        <f>IF(OR(A44="",A44="//"),"",IFERROR(VLOOKUP($A44,'cvars&amp;commands'!$C:$AB,6,FALSE),""))</f>
        <v>Set address and port for remote host &lt;ip:port&gt;.</v>
      </c>
      <c r="F44" s="2" t="str">
        <f t="shared" si="0"/>
        <v>logaddress_add "stats.planet-kif.de:42820"        // Set address and port for remote host &lt;ip:port&gt;.</v>
      </c>
    </row>
    <row r="45" spans="1:6" x14ac:dyDescent="0.25">
      <c r="A45" s="4" t="s">
        <v>966</v>
      </c>
      <c r="B45">
        <v>1</v>
      </c>
      <c r="C45">
        <f>IFERROR(VLOOKUP($A45,'cvars&amp;commands'!$C:$AB,2,FALSE),"")</f>
        <v>0</v>
      </c>
      <c r="D45" t="str">
        <f>IF(OR(A45="",A45="//"),"",IFERROR(VLOOKUP($A45,'cvars&amp;commands'!$C:$AB,6,FALSE),""))</f>
        <v>Prefix console.log entries with timestamps</v>
      </c>
      <c r="F45" s="2" t="str">
        <f t="shared" si="0"/>
        <v>con_timestamp 1                                   // Prefix console.log entries with timestamps (Default: 0)</v>
      </c>
    </row>
    <row r="46" spans="1:6" x14ac:dyDescent="0.25">
      <c r="F46" s="2" t="str">
        <f t="shared" si="0"/>
        <v/>
      </c>
    </row>
    <row r="47" spans="1:6" x14ac:dyDescent="0.25">
      <c r="A47" s="4" t="s">
        <v>5239</v>
      </c>
      <c r="B47" t="str">
        <f>REPT("*",120)</f>
        <v>************************************************************************************************************************</v>
      </c>
      <c r="D47" t="str">
        <f>IF(OR(A47="",A47="//"),"",IFERROR(VLOOKUP($A47,'cvars&amp;commands'!$C:$AB,6,FALSE),""))</f>
        <v/>
      </c>
      <c r="F47" s="2" t="str">
        <f t="shared" ref="F47:F48" si="2">IF(A47="","", LEFT(A47&amp;" "&amp;B47&amp;REPT(" ",$E$1),MAX($E$1,LEN(A47&amp;B47)+5))&amp; IF(D47="","","// "&amp;D47&amp;IF(C47="",""," (Default: "&amp;C47&amp;")")))</f>
        <v xml:space="preserve">// ************************************************************************************************************************    </v>
      </c>
    </row>
    <row r="48" spans="1:6" x14ac:dyDescent="0.25">
      <c r="A48" s="4" t="s">
        <v>5239</v>
      </c>
      <c r="B48" t="s">
        <v>5512</v>
      </c>
      <c r="C48" t="str">
        <f>IFERROR(VLOOKUP($A48,'cvars&amp;commands'!$C:$AB,2,FALSE),"")</f>
        <v/>
      </c>
      <c r="D48" t="str">
        <f>IF(OR(A48="",A48="//"),"",IFERROR(VLOOKUP($A48,'cvars&amp;commands'!$C:$AB,6,FALSE),""))</f>
        <v/>
      </c>
      <c r="F48" s="2" t="str">
        <f t="shared" si="2"/>
        <v xml:space="preserve">// What to play                                   </v>
      </c>
    </row>
    <row r="49" spans="1:6" x14ac:dyDescent="0.25">
      <c r="A49" s="4" t="s">
        <v>5239</v>
      </c>
      <c r="B49" t="str">
        <f>REPT("*",120)</f>
        <v>************************************************************************************************************************</v>
      </c>
      <c r="D49" t="str">
        <f>IF(OR(A49="",A49="//"),"",IFERROR(VLOOKUP($A49,'cvars&amp;commands'!$C:$AB,6,FALSE),""))</f>
        <v/>
      </c>
      <c r="F49" s="2" t="str">
        <f t="shared" ref="F49" si="3">IF(A49="","", LEFT(A49&amp;" "&amp;B49&amp;REPT(" ",$E$1),MAX($E$1,LEN(A49&amp;B49)+5))&amp; IF(D49="","","// "&amp;D49&amp;IF(C49="",""," (Default: "&amp;C49&amp;")")))</f>
        <v xml:space="preserve">// ************************************************************************************************************************    </v>
      </c>
    </row>
    <row r="50" spans="1:6" x14ac:dyDescent="0.25">
      <c r="A50" t="s">
        <v>1367</v>
      </c>
      <c r="B50">
        <v>0</v>
      </c>
      <c r="C50">
        <f>VLOOKUP($A50,'cvars&amp;commands'!$C:$AB,2,FALSE)</f>
        <v>0</v>
      </c>
      <c r="D50" t="str">
        <f>IF(OR(A50="",A50="//"),"",IFERROR(VLOOKUP($A50,'cvars&amp;commands'!$C:$AB,6,FALSE),""))</f>
        <v>The current game mode (based on game type). See GameModes.txt.</v>
      </c>
      <c r="F50" s="2" t="str">
        <f>IF(A50="","", LEFT(A50&amp;" "&amp;B50&amp;REPT(" ",$E$1),MAX($E$1,LEN(A50&amp;B50)+5))&amp; IF(D50="","","// "&amp;D50&amp;IF(C50="",""," (Default: "&amp;C50&amp;")")))</f>
        <v>game_mode 0                                       // The current game mode (based on game type). See GameModes.txt. (Default: 0)</v>
      </c>
    </row>
    <row r="51" spans="1:6" x14ac:dyDescent="0.25">
      <c r="A51" t="s">
        <v>1369</v>
      </c>
      <c r="B51">
        <v>0</v>
      </c>
      <c r="C51">
        <f>VLOOKUP($A51,'cvars&amp;commands'!$C:$AB,2,FALSE)</f>
        <v>0</v>
      </c>
      <c r="D51" t="str">
        <f>IF(OR(A51="",A51="//"),"",IFERROR(VLOOKUP($A51,'cvars&amp;commands'!$C:$AB,6,FALSE),""))</f>
        <v>The current game type. See GameModes.txt.</v>
      </c>
      <c r="F51" s="2" t="str">
        <f>IF(A51="","", LEFT(A51&amp;" "&amp;B51&amp;REPT(" ",$E$1),MAX($E$1,LEN(A51&amp;B51)+5))&amp; IF(D51="","","// "&amp;D51&amp;IF(C51="",""," (Default: "&amp;C51&amp;")")))</f>
        <v>game_type 0                                       // The current game type. See GameModes.txt. (Default: 0)</v>
      </c>
    </row>
    <row r="52" spans="1:6" x14ac:dyDescent="0.25">
      <c r="A52"/>
      <c r="C52" t="str">
        <f>IFERROR(VLOOKUP($A52,'cvars&amp;commands'!$C:$AB,2,FALSE),"")</f>
        <v/>
      </c>
      <c r="D52" t="str">
        <f>IF(OR(A52="",A52="//"),"",IFERROR(VLOOKUP($A52,'cvars&amp;commands'!$C:$AB,6,FALSE),""))</f>
        <v/>
      </c>
      <c r="F52" s="2" t="str">
        <f t="shared" ref="F52:F54" si="4">IF(A52="","", LEFT(A52&amp;" "&amp;B52&amp;REPT(" ",$E$1),MAX($E$1,LEN(A52&amp;B52)+5))&amp; IF(D52="","","// "&amp;D52&amp;IF(C52="",""," (Default: "&amp;C52&amp;")")))</f>
        <v/>
      </c>
    </row>
    <row r="53" spans="1:6" x14ac:dyDescent="0.25">
      <c r="A53" t="s">
        <v>1491</v>
      </c>
      <c r="B53" t="s">
        <v>5509</v>
      </c>
      <c r="D53" t="str">
        <f>IF(OR(A53="",A53="//"),"",IFERROR(VLOOKUP($A53,'cvars&amp;commands'!$C:$AB,6,FALSE),""))</f>
        <v>The servers workshop map collection. See https://steamcommunity.com/sharedfiles/filedetails/?id=%STEAM_WORKSHOP_COLLECTION_ID% - Original Helptext: Get the latest version of maps in a workshop collection and host them as a maplist.</v>
      </c>
      <c r="F53" s="2" t="str">
        <f t="shared" si="4"/>
        <v>host_workshop_collection %STEAM_WORKSHOP_COLLECTION_ID%    // The servers workshop map collection. See https://steamcommunity.com/sharedfiles/filedetails/?id=%STEAM_WORKSHOP_COLLECTION_ID% - Original Helptext: Get the latest version of maps in a workshop collection and host them as a maplist.</v>
      </c>
    </row>
    <row r="54" spans="1:6" x14ac:dyDescent="0.25">
      <c r="A54" t="s">
        <v>5136</v>
      </c>
      <c r="B54">
        <v>125444404</v>
      </c>
      <c r="D54" t="s">
        <v>5513</v>
      </c>
      <c r="F54" s="2" t="str">
        <f t="shared" si="4"/>
        <v>workshop_start_map 125444404                      // Start with cs_office (id must fit to a map which is part of the above collection)</v>
      </c>
    </row>
    <row r="55" spans="1:6" x14ac:dyDescent="0.25">
      <c r="A55"/>
    </row>
    <row r="56" spans="1:6" x14ac:dyDescent="0.25">
      <c r="C56" t="str">
        <f>IFERROR(VLOOKUP($A56,'cvars&amp;commands'!$C:$AB,2,FALSE),"")</f>
        <v/>
      </c>
      <c r="D56" t="str">
        <f>IF(OR(A56="",A56="//"),"",IFERROR(VLOOKUP($A56,'cvars&amp;commands'!$C:$AB,6,FALSE),""))</f>
        <v/>
      </c>
    </row>
    <row r="57" spans="1:6" x14ac:dyDescent="0.25">
      <c r="A57" s="4" t="s">
        <v>5239</v>
      </c>
      <c r="B57" t="s">
        <v>5492</v>
      </c>
      <c r="C57" t="str">
        <f>IFERROR(VLOOKUP($A57,'cvars&amp;commands'!$C:$AB,2,FALSE),"")</f>
        <v/>
      </c>
      <c r="D57" t="str">
        <f>IF(OR(A57="",A57="//"),"",IFERROR(VLOOKUP($A57,'cvars&amp;commands'!$C:$AB,6,FALSE),""))</f>
        <v/>
      </c>
    </row>
    <row r="58" spans="1:6" x14ac:dyDescent="0.25">
      <c r="A58" s="4" t="s">
        <v>4137</v>
      </c>
      <c r="B58" t="s">
        <v>5242</v>
      </c>
      <c r="D58" t="str">
        <f>IF(OR(A58="",A58="//"),"",IFERROR(VLOOKUP($A58,'cvars&amp;commands'!$C:$AB,6,FALSE),""))</f>
        <v>Location from which clients can download missing files</v>
      </c>
    </row>
    <row r="59" spans="1:6" x14ac:dyDescent="0.25">
      <c r="A59" s="4" t="s">
        <v>1495</v>
      </c>
      <c r="C59" t="str">
        <f>IFERROR(VLOOKUP($A59,'cvars&amp;commands'!$C:$AB,2,FALSE),"")</f>
        <v>cmd</v>
      </c>
      <c r="D59" t="str">
        <f>IF(OR(A59="",A59="//"),"",IFERROR(VLOOKUP($A59,'cvars&amp;commands'!$C:$AB,6,FALSE),""))</f>
        <v>Store current settings to config.cfg (or specified .cfg file).</v>
      </c>
    </row>
    <row r="60" spans="1:6" x14ac:dyDescent="0.25">
      <c r="C60" t="str">
        <f>IFERROR(VLOOKUP($A60,'cvars&amp;commands'!$C:$AB,2,FALSE),"")</f>
        <v/>
      </c>
      <c r="D60" t="str">
        <f>IF(OR(A60="",A60="//"),"",IFERROR(VLOOKUP($A60,'cvars&amp;commands'!$C:$AB,6,FALSE),""))</f>
        <v/>
      </c>
    </row>
    <row r="61" spans="1:6" x14ac:dyDescent="0.25">
      <c r="C61" t="str">
        <f>IFERROR(VLOOKUP($A61,'cvars&amp;commands'!$C:$AB,2,FALSE),"")</f>
        <v/>
      </c>
      <c r="D61" t="str">
        <f>IF(OR(A61="",A61="//"),"",IFERROR(VLOOKUP($A61,'cvars&amp;commands'!$C:$AB,6,FALSE),""))</f>
        <v/>
      </c>
    </row>
  </sheetData>
  <conditionalFormatting sqref="C1:D1 C5:C6 C37:C39 C9:D10 C8 C11 D36:D46 C32:D35 C12:D28 D48 C50:D1048576">
    <cfRule type="expression" dxfId="34" priority="23">
      <formula>_xlfn.ISFORMULA(C1)</formula>
    </cfRule>
  </conditionalFormatting>
  <conditionalFormatting sqref="C3">
    <cfRule type="expression" dxfId="33" priority="20">
      <formula>_xlfn.ISFORMULA(C3)</formula>
    </cfRule>
  </conditionalFormatting>
  <conditionalFormatting sqref="C7">
    <cfRule type="expression" dxfId="32" priority="17">
      <formula>_xlfn.ISFORMULA(C7)</formula>
    </cfRule>
  </conditionalFormatting>
  <conditionalFormatting sqref="C40:C46 C48">
    <cfRule type="expression" dxfId="31" priority="16">
      <formula>_xlfn.ISFORMULA(C40)</formula>
    </cfRule>
  </conditionalFormatting>
  <conditionalFormatting sqref="C11:C12">
    <cfRule type="expression" dxfId="30" priority="11">
      <formula>_xlfn.ISFORMULA(C11)</formula>
    </cfRule>
  </conditionalFormatting>
  <conditionalFormatting sqref="C10:D10">
    <cfRule type="expression" dxfId="29" priority="10">
      <formula>_xlfn.ISFORMULA(C10)</formula>
    </cfRule>
  </conditionalFormatting>
  <conditionalFormatting sqref="C36">
    <cfRule type="expression" dxfId="28" priority="9">
      <formula>_xlfn.ISFORMULA(C36)</formula>
    </cfRule>
  </conditionalFormatting>
  <conditionalFormatting sqref="D12">
    <cfRule type="expression" dxfId="27" priority="7">
      <formula>_xlfn.ISFORMULA(D12)</formula>
    </cfRule>
  </conditionalFormatting>
  <conditionalFormatting sqref="D2:D8">
    <cfRule type="expression" dxfId="26" priority="6">
      <formula>_xlfn.ISFORMULA(D2)</formula>
    </cfRule>
  </conditionalFormatting>
  <conditionalFormatting sqref="D11">
    <cfRule type="expression" dxfId="25" priority="5">
      <formula>_xlfn.ISFORMULA(D11)</formula>
    </cfRule>
  </conditionalFormatting>
  <conditionalFormatting sqref="D29:D31">
    <cfRule type="expression" dxfId="24" priority="4">
      <formula>_xlfn.ISFORMULA(D29)</formula>
    </cfRule>
  </conditionalFormatting>
  <conditionalFormatting sqref="C29:C31">
    <cfRule type="expression" dxfId="23" priority="3">
      <formula>_xlfn.ISFORMULA(C29)</formula>
    </cfRule>
  </conditionalFormatting>
  <conditionalFormatting sqref="A50:A55 A18:A19">
    <cfRule type="duplicateValues" dxfId="22" priority="37"/>
  </conditionalFormatting>
  <conditionalFormatting sqref="C47:D47">
    <cfRule type="expression" dxfId="21" priority="2">
      <formula>_xlfn.ISFORMULA(C47)</formula>
    </cfRule>
  </conditionalFormatting>
  <conditionalFormatting sqref="C49:D49">
    <cfRule type="expression" dxfId="20" priority="1">
      <formula>_xlfn.ISFORMULA(C49)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8"/>
  <sheetViews>
    <sheetView workbookViewId="0">
      <selection activeCell="D11" sqref="D11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10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95</v>
      </c>
      <c r="B11" t="s">
        <v>5505</v>
      </c>
      <c r="D11" t="s">
        <v>5503</v>
      </c>
      <c r="F11" s="2" t="str">
        <f>IF(A11="","", LEFT(A11&amp;" "&amp;B11&amp;REPT(" ",autoexec.cfg!$E$1),MAX(autoexec.cfg!$E$1,LEN(A11&amp;B11)+5))&amp; IF(D11="","","// "&amp;D11&amp;IF(C11="",""," (Default: "&amp;C11&amp;")")))</f>
        <v>alias cv_server "say server.cfg v%DATE_TIME%"     // Prints the version of this config to the screen</v>
      </c>
    </row>
    <row r="12" spans="1:6" x14ac:dyDescent="0.25">
      <c r="F12" s="2" t="str">
        <f t="shared" ref="F12:F18" si="1">IF(A12="","", LEFT(A12&amp;" "&amp;B12&amp;REPT(" ",$E$1),MAX($E$1,LEN(A12&amp;B12)+5))&amp; IF(D12="","","// "&amp;D12&amp;IF(C12="",""," (Default: "&amp;C12&amp;")")))</f>
        <v/>
      </c>
    </row>
    <row r="13" spans="1:6" x14ac:dyDescent="0.25">
      <c r="A13" s="4" t="s">
        <v>2195</v>
      </c>
      <c r="B13">
        <v>1</v>
      </c>
      <c r="C13">
        <f>VLOOKUP($A13,'cvars&amp;commands'!$C:$AB,2,FALSE)</f>
        <v>1</v>
      </c>
      <c r="D13" t="str">
        <f>IF(OR(A13="",A13="//"),"",IFERROR(VLOOKUP($A13,'cvars&amp;commands'!$C:$AB,6,FALSE),""))</f>
        <v>Whether or not players vote for the next map at the end of the match when the final scoreboard comes up</v>
      </c>
      <c r="E13" t="str">
        <f>REPT(" ",$E$1)</f>
        <v xml:space="preserve">                                                  </v>
      </c>
      <c r="F13" s="2" t="str">
        <f t="shared" si="1"/>
        <v>mp_endmatch_votenextmap 1                         // Whether or not players vote for the next map at the end of the match when the final scoreboard comes up (Default: 1)</v>
      </c>
    </row>
    <row r="14" spans="1:6" x14ac:dyDescent="0.25">
      <c r="A14" s="4" t="s">
        <v>4577</v>
      </c>
      <c r="B14">
        <v>0</v>
      </c>
      <c r="C14">
        <f>VLOOKUP($A14,'cvars&amp;commands'!$C:$AB,2,FALSE)</f>
        <v>1</v>
      </c>
      <c r="D14" t="str">
        <f>IF(OR(A14="",A14="//"),"",IFERROR(VLOOKUP($A14,'cvars&amp;commands'!$C:$AB,6,FALSE),""))</f>
        <v>Can people hold votes to kick players from the server?</v>
      </c>
      <c r="E14" t="str">
        <f>REPT(" ",$E$1)</f>
        <v xml:space="preserve">                                                  </v>
      </c>
      <c r="F14" s="2" t="str">
        <f t="shared" si="1"/>
        <v>sv_vote_issue_kick_allowed 0                      // Can people hold votes to kick players from the server? (Default: 1)</v>
      </c>
    </row>
    <row r="15" spans="1:6" x14ac:dyDescent="0.25">
      <c r="A15" s="5"/>
      <c r="F15" s="2" t="str">
        <f t="shared" si="1"/>
        <v/>
      </c>
    </row>
    <row r="16" spans="1:6" x14ac:dyDescent="0.25">
      <c r="A16" s="4" t="s">
        <v>5140</v>
      </c>
      <c r="C16" t="str">
        <f>VLOOKUP($A16,'cvars&amp;commands'!$C:$AB,2,FALSE)</f>
        <v>cmd</v>
      </c>
      <c r="D16" t="str">
        <f>IF(OR(A16="",A16="//"),"",IFERROR(VLOOKUP($A16,'cvars&amp;commands'!$C:$AB,6,FALSE),""))</f>
        <v>Writes a list of permanently-banned user IDs to banned_user.cfg.</v>
      </c>
      <c r="E16" t="str">
        <f>REPT(" ",$E$1)</f>
        <v xml:space="preserve">                                                  </v>
      </c>
      <c r="F16" s="2" t="str">
        <f t="shared" si="1"/>
        <v>writeid                                           // Writes a list of permanently-banned user IDs to banned_user.cfg. (Default: cmd)</v>
      </c>
    </row>
    <row r="17" spans="1:6" x14ac:dyDescent="0.25">
      <c r="A17" s="4" t="s">
        <v>5142</v>
      </c>
      <c r="C17" t="str">
        <f>VLOOKUP($A17,'cvars&amp;commands'!$C:$AB,2,FALSE)</f>
        <v>cmd</v>
      </c>
      <c r="D17" t="str">
        <f>IF(OR(A17="",A17="//"),"",IFERROR(VLOOKUP($A17,'cvars&amp;commands'!$C:$AB,6,FALSE),""))</f>
        <v>Save the ban list to banned_ip.cfg.</v>
      </c>
      <c r="E17" t="str">
        <f>REPT(" ",$E$1)</f>
        <v xml:space="preserve">                                                  </v>
      </c>
      <c r="F17" s="2" t="str">
        <f t="shared" si="1"/>
        <v>writeip                                           // Save the ban list to banned_ip.cfg. (Default: cmd)</v>
      </c>
    </row>
    <row r="18" spans="1:6" x14ac:dyDescent="0.25">
      <c r="F18" s="2" t="str">
        <f t="shared" si="1"/>
        <v/>
      </c>
    </row>
  </sheetData>
  <conditionalFormatting sqref="C1:D1 C7:D10 C15:D15 C13:C14 C18:D1048576 C16:C17 C11">
    <cfRule type="expression" dxfId="19" priority="11">
      <formula>_xlfn.ISFORMULA(C1)</formula>
    </cfRule>
  </conditionalFormatting>
  <conditionalFormatting sqref="C4:D4">
    <cfRule type="expression" dxfId="18" priority="7">
      <formula>_xlfn.ISFORMULA(C4)</formula>
    </cfRule>
  </conditionalFormatting>
  <conditionalFormatting sqref="C3:D3">
    <cfRule type="expression" dxfId="17" priority="6">
      <formula>_xlfn.ISFORMULA(C3)</formula>
    </cfRule>
  </conditionalFormatting>
  <conditionalFormatting sqref="C11">
    <cfRule type="expression" dxfId="16" priority="5">
      <formula>_xlfn.ISFORMULA(C11)</formula>
    </cfRule>
  </conditionalFormatting>
  <conditionalFormatting sqref="D16:D17">
    <cfRule type="expression" dxfId="15" priority="2">
      <formula>_xlfn.ISFORMULA(D16)</formula>
    </cfRule>
  </conditionalFormatting>
  <conditionalFormatting sqref="D13:D14">
    <cfRule type="expression" dxfId="14" priority="3">
      <formula>_xlfn.ISFORMULA(D13)</formula>
    </cfRule>
  </conditionalFormatting>
  <conditionalFormatting sqref="D11">
    <cfRule type="expression" dxfId="13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9"/>
  <sheetViews>
    <sheetView workbookViewId="0">
      <selection activeCell="D11" sqref="D11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13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A10" s="4"/>
      <c r="F10" s="2" t="str">
        <f t="shared" si="0"/>
        <v/>
      </c>
    </row>
    <row r="11" spans="1:6" x14ac:dyDescent="0.25">
      <c r="A11" s="4" t="s">
        <v>95</v>
      </c>
      <c r="B11" t="s">
        <v>5504</v>
      </c>
      <c r="D11" t="s">
        <v>5503</v>
      </c>
      <c r="F11" s="2" t="str">
        <f t="shared" si="0"/>
        <v>alias cv_gamemode_casual_server "say gamemode_casual_server.cfg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2555</v>
      </c>
      <c r="B13">
        <v>30</v>
      </c>
      <c r="C13">
        <f>IFERROR(VLOOKUP($A13,'cvars&amp;commands'!$C:$AB,2,FALSE),"")</f>
        <v>90</v>
      </c>
      <c r="D13" t="str">
        <f>IF(OR(A13="",A13="//"),"",IFERROR(VLOOKUP($A13,'cvars&amp;commands'!$C:$AB,6,FALSE),""))</f>
        <v>How long the warmup period lasts. Changing this value resets warmup.</v>
      </c>
      <c r="E13" t="str">
        <f>REPT(" ",server.cfg!$E$1)</f>
        <v xml:space="preserve">                                                  </v>
      </c>
      <c r="F13" s="2" t="str">
        <f t="shared" si="0"/>
        <v>mp_warmuptime 30                                  // How long the warmup period lasts. Changing this value resets warmup. (Default: 90)</v>
      </c>
    </row>
    <row r="14" spans="1:6" x14ac:dyDescent="0.25">
      <c r="A14" t="s">
        <v>2215</v>
      </c>
      <c r="B14">
        <v>1</v>
      </c>
      <c r="C14">
        <f>IFERROR(VLOOKUP($A14,'cvars&amp;commands'!$C:$AB,2,FALSE),"")</f>
        <v>0</v>
      </c>
      <c r="D14" t="str">
        <f>IF(OR(A14="",A14="//"),"",IFERROR(VLOOKUP($A14,'cvars&amp;commands'!$C:$AB,6,FALSE),""))</f>
        <v>Restricts spectator modes for dead players. 0 = Any team. 1 = Only own team. 2 = No one; fade to black on death (previously mp_</v>
      </c>
      <c r="F14" s="2" t="str">
        <f t="shared" ref="F14:F39" si="2">IF(A14="","", LEFT(A14&amp;" "&amp;B14&amp;REPT(" ",$E$1),MAX($E$1,LEN(A14&amp;B14)+5))&amp; IF(D14="","","// "&amp;D14&amp;IF(C14="",""," (Default: "&amp;C14&amp;")")))</f>
        <v>mp_forcecamera 1                                  // Restricts spectator modes for dead players. 0 = Any team. 1 = Only own team. 2 = No one; fade to black on death (previously mp_ (Default: 0)</v>
      </c>
    </row>
    <row r="15" spans="1:6" x14ac:dyDescent="0.25">
      <c r="A15" t="s">
        <v>2460</v>
      </c>
      <c r="B15">
        <v>0</v>
      </c>
      <c r="C15">
        <f>IFERROR(VLOOKUP($A15,'cvars&amp;commands'!$C:$AB,2,FALSE),"")</f>
        <v>2</v>
      </c>
      <c r="D15" t="str">
        <f>IF(OR(A15="",A15="//"),"",IFERROR(VLOOKUP($A15,'cvars&amp;commands'!$C:$AB,6,FALSE),""))</f>
        <v>How solid are teammates: 0 = transparent; 1 = fully solid; 2 = can stand on top of heads</v>
      </c>
      <c r="F15" s="2" t="str">
        <f t="shared" si="2"/>
        <v>mp_solid_teammates 0                              // How solid are teammates: 0 = transparent; 1 = fully solid; 2 = can stand on top of heads (Default: 2)</v>
      </c>
    </row>
    <row r="16" spans="1:6" x14ac:dyDescent="0.25">
      <c r="A16" s="4" t="s">
        <v>4125</v>
      </c>
      <c r="B16">
        <v>1</v>
      </c>
      <c r="C16">
        <f>IFERROR(VLOOKUP($A16,'cvars&amp;commands'!$C:$AB,2,FALSE),"")</f>
        <v>0</v>
      </c>
      <c r="D16" t="str">
        <f>IF(OR(A16="",A16="//"),"",IFERROR(VLOOKUP($A16,'cvars&amp;commands'!$C:$AB,6,FALSE),""))</f>
        <v>Dead players can speak (voice, text) to the living</v>
      </c>
      <c r="F16" s="2" t="str">
        <f t="shared" si="2"/>
        <v>sv_deadtalk 1                                     // Dead players can speak (voice, text) to the living (Default: 0)</v>
      </c>
    </row>
    <row r="17" spans="1:6" x14ac:dyDescent="0.25">
      <c r="A17" t="s">
        <v>4528</v>
      </c>
      <c r="B17">
        <v>0</v>
      </c>
      <c r="C17">
        <f>IFERROR(VLOOKUP($A17,'cvars&amp;commands'!$C:$AB,2,FALSE),"")</f>
        <v>1</v>
      </c>
      <c r="D17" t="str">
        <f>IF(OR(A17="",A17="//"),"",IFERROR(VLOOKUP($A17,'cvars&amp;commands'!$C:$AB,6,FALSE),""))</f>
        <v>Dead players can hear all dead enemy communication (voice, chat)</v>
      </c>
      <c r="F17" s="2" t="str">
        <f t="shared" si="2"/>
        <v>sv_talk_enemy_dead 0                              // Dead players can hear all dead enemy communication (voice, chat) (Default: 1)</v>
      </c>
    </row>
    <row r="18" spans="1:6" x14ac:dyDescent="0.25">
      <c r="A18" t="s">
        <v>4530</v>
      </c>
      <c r="B18">
        <v>0</v>
      </c>
      <c r="C18">
        <f>IFERROR(VLOOKUP($A18,'cvars&amp;commands'!$C:$AB,2,FALSE),"")</f>
        <v>0</v>
      </c>
      <c r="D18" t="str">
        <f>IF(OR(A18="",A18="//"),"",IFERROR(VLOOKUP($A18,'cvars&amp;commands'!$C:$AB,6,FALSE),""))</f>
        <v>Living players can hear all living enemy communication (voice, chat)</v>
      </c>
      <c r="F18" s="2" t="str">
        <f t="shared" si="2"/>
        <v>sv_talk_enemy_living 0                            // Living players can hear all living enemy communication (voice, chat) (Default: 0)</v>
      </c>
    </row>
    <row r="19" spans="1:6" x14ac:dyDescent="0.25">
      <c r="A19" t="s">
        <v>2444</v>
      </c>
      <c r="B19">
        <v>5</v>
      </c>
      <c r="C19">
        <f>IFERROR(VLOOKUP($A19,'cvars&amp;commands'!$C:$AB,2,FALSE),"")</f>
        <v>10</v>
      </c>
      <c r="D19" t="str">
        <f>IF(OR(A19="",A19="//"),"",IFERROR(VLOOKUP($A19,'cvars&amp;commands'!$C:$AB,6,FALSE),""))</f>
        <v>Number of seconds to delay before restarting a round after a win</v>
      </c>
      <c r="F19" s="2" t="str">
        <f t="shared" si="2"/>
        <v>mp_round_restart_delay 5                          // Number of seconds to delay before restarting a round after a win (Default: 10)</v>
      </c>
    </row>
    <row r="20" spans="1:6" x14ac:dyDescent="0.25">
      <c r="C20" t="str">
        <f>IFERROR(VLOOKUP($A20,'cvars&amp;commands'!$C:$AB,2,FALSE),"")</f>
        <v/>
      </c>
      <c r="D20" t="str">
        <f>IF(OR(A20="",A20="//"),"",IFERROR(VLOOKUP($A20,'cvars&amp;commands'!$C:$AB,6,FALSE),""))</f>
        <v/>
      </c>
      <c r="F20" s="2" t="str">
        <f t="shared" si="2"/>
        <v/>
      </c>
    </row>
    <row r="21" spans="1:6" x14ac:dyDescent="0.25">
      <c r="A21" s="4" t="s">
        <v>2225</v>
      </c>
      <c r="B21">
        <v>1</v>
      </c>
      <c r="C21">
        <f>IFERROR(VLOOKUP($A21,'cvars&amp;commands'!$C:$AB,2,FALSE),"")</f>
        <v>1</v>
      </c>
      <c r="D21" t="str">
        <f>IF(OR(A21="",A21="//"),"",IFERROR(VLOOKUP($A21,'cvars&amp;commands'!$C:$AB,6,FALSE),""))</f>
        <v>Allows team members to injure other members of their team</v>
      </c>
      <c r="E21" t="str">
        <f>REPT(" ",server.cfg!$E$1)</f>
        <v xml:space="preserve">                                                  </v>
      </c>
      <c r="F21" s="2" t="str">
        <f t="shared" si="2"/>
        <v>mp_friendlyfire 1                                 // Allows team members to injure other members of their team (Default: 1)</v>
      </c>
    </row>
    <row r="22" spans="1:6" x14ac:dyDescent="0.25">
      <c r="A22" t="s">
        <v>1246</v>
      </c>
      <c r="B22">
        <v>0</v>
      </c>
      <c r="C22">
        <f>IFERROR(VLOOKUP($A22,'cvars&amp;commands'!$C:$AB,2,FALSE),"")</f>
        <v>0</v>
      </c>
      <c r="D22" t="str">
        <f>IF(OR(A22="",A22="//"),"",IFERROR(VLOOKUP($A22,'cvars&amp;commands'!$C:$AB,6,FALSE),""))</f>
        <v>If friendly fire is off, this will scale the penetration power and damage a bullet does when penetrating another friendly playe</v>
      </c>
      <c r="F22" s="2" t="str">
        <f t="shared" si="2"/>
        <v>ff_damage_bullet_penetration 0                    // If friendly fire is off, this will scale the penetration power and damage a bullet does when penetrating another friendly playe (Default: 0)</v>
      </c>
    </row>
    <row r="23" spans="1:6" x14ac:dyDescent="0.25">
      <c r="A23" t="s">
        <v>1248</v>
      </c>
      <c r="B23">
        <v>0</v>
      </c>
      <c r="C23">
        <f>IFERROR(VLOOKUP($A23,'cvars&amp;commands'!$C:$AB,2,FALSE),"")</f>
        <v>0</v>
      </c>
      <c r="D23" t="str">
        <f>IF(OR(A23="",A23="//"),"",IFERROR(VLOOKUP($A23,'cvars&amp;commands'!$C:$AB,6,FALSE),""))</f>
        <v>Enables or disables team damage from decoy detonation</v>
      </c>
      <c r="F23" s="2" t="str">
        <f t="shared" si="2"/>
        <v>ff_damage_decoy_explosion 0                       // Enables or disables team damage from decoy detonation (Default: 0)</v>
      </c>
    </row>
    <row r="24" spans="1:6" x14ac:dyDescent="0.25">
      <c r="A24" t="s">
        <v>1250</v>
      </c>
      <c r="B24">
        <v>1</v>
      </c>
      <c r="C24">
        <f>IFERROR(VLOOKUP($A24,'cvars&amp;commands'!$C:$AB,2,FALSE),"")</f>
        <v>1</v>
      </c>
      <c r="D24" t="str">
        <f>IF(OR(A24="",A24="//"),"",IFERROR(VLOOKUP($A24,'cvars&amp;commands'!$C:$AB,6,FALSE),""))</f>
        <v>Enables or disables team damage from thrown grenade impacts</v>
      </c>
      <c r="F24" s="2" t="str">
        <f t="shared" si="2"/>
        <v>ff_damage_grenade_hit 1                           // Enables or disables team damage from thrown grenade impacts (Default: 1)</v>
      </c>
    </row>
    <row r="25" spans="1:6" x14ac:dyDescent="0.25">
      <c r="A25" t="s">
        <v>1252</v>
      </c>
      <c r="B25" t="s">
        <v>5266</v>
      </c>
      <c r="C25">
        <f>IFERROR(VLOOKUP($A25,'cvars&amp;commands'!$C:$AB,2,FALSE),"")</f>
        <v>0</v>
      </c>
      <c r="D25" t="str">
        <f>IF(OR(A25="",A25="//"),"",IFERROR(VLOOKUP($A25,'cvars&amp;commands'!$C:$AB,6,FALSE),""))</f>
        <v>How much to reduce damage done to teammates when shot.  Range is from 0 - 1 (with 1 being damage equal to what is done to an en</v>
      </c>
      <c r="F25" s="2" t="str">
        <f t="shared" si="2"/>
        <v>ff_damage_reduction_bullets 0.33                  // How much to reduce damage done to teammates when shot.  Range is from 0 - 1 (with 1 being damage equal to what is done to an en (Default: 0)</v>
      </c>
    </row>
    <row r="26" spans="1:6" x14ac:dyDescent="0.25">
      <c r="A26" t="s">
        <v>1254</v>
      </c>
      <c r="B26" t="s">
        <v>5267</v>
      </c>
      <c r="C26">
        <f>IFERROR(VLOOKUP($A26,'cvars&amp;commands'!$C:$AB,2,FALSE),"")</f>
        <v>0</v>
      </c>
      <c r="D26" t="str">
        <f>IF(OR(A26="",A26="//"),"",IFERROR(VLOOKUP($A26,'cvars&amp;commands'!$C:$AB,6,FALSE),""))</f>
        <v>How much to reduce damage done to teammates by a thrown grenade.  Range is from 0 - 1 (with 1 being damage equal to what is don</v>
      </c>
      <c r="F26" s="2" t="str">
        <f t="shared" si="2"/>
        <v>ff_damage_reduction_grenade 0.85                  // How much to reduce damage done to teammates by a thrown grenade.  Range is from 0 - 1 (with 1 being damage equal to what is don (Default: 0)</v>
      </c>
    </row>
    <row r="27" spans="1:6" x14ac:dyDescent="0.25">
      <c r="A27" t="s">
        <v>1256</v>
      </c>
      <c r="B27">
        <v>1</v>
      </c>
      <c r="C27">
        <f>IFERROR(VLOOKUP($A27,'cvars&amp;commands'!$C:$AB,2,FALSE),"")</f>
        <v>0</v>
      </c>
      <c r="D27" t="str">
        <f>IF(OR(A27="",A27="//"),"",IFERROR(VLOOKUP($A27,'cvars&amp;commands'!$C:$AB,6,FALSE),""))</f>
        <v>How much to damage a player does to himself with his own grenade.  Range is from 0 - 1 (with 1 being damage equal to what is do</v>
      </c>
      <c r="F27" s="2" t="str">
        <f t="shared" si="2"/>
        <v>ff_damage_reduction_grenade_self 1                // How much to damage a player does to himself with his own grenade.  Range is from 0 - 1 (with 1 being damage equal to what is do (Default: 0)</v>
      </c>
    </row>
    <row r="28" spans="1:6" x14ac:dyDescent="0.25">
      <c r="A28" t="s">
        <v>1258</v>
      </c>
      <c r="B28" t="s">
        <v>5268</v>
      </c>
      <c r="C28">
        <f>IFERROR(VLOOKUP($A28,'cvars&amp;commands'!$C:$AB,2,FALSE),"")</f>
        <v>0</v>
      </c>
      <c r="D28" t="str">
        <f>IF(OR(A28="",A28="//"),"",IFERROR(VLOOKUP($A28,'cvars&amp;commands'!$C:$AB,6,FALSE),""))</f>
        <v>How much to reduce damage done to teammates by things other than bullets and grenades.  Range is from 0 - 1 (with 1 being damag</v>
      </c>
      <c r="F28" s="2" t="str">
        <f t="shared" si="2"/>
        <v>ff_damage_reduction_other 0.4                     // How much to reduce damage done to teammates by things other than bullets and grenades.  Range is from 0 - 1 (with 1 being damag (Default: 0)</v>
      </c>
    </row>
    <row r="29" spans="1:6" x14ac:dyDescent="0.25">
      <c r="A29" s="4" t="s">
        <v>2540</v>
      </c>
      <c r="B29">
        <v>0</v>
      </c>
      <c r="C29">
        <f>IFERROR(VLOOKUP($A29,'cvars&amp;commands'!$C:$AB,2,FALSE),"")</f>
        <v>1</v>
      </c>
      <c r="D29" t="str">
        <f>IF(OR(A29="",A29="//"),"",IFERROR(VLOOKUP($A29,'cvars&amp;commands'!$C:$AB,6,FALSE),""))</f>
        <v>Will TK'ers and team damagers be punished in the next round?  {0=no,  1=yes}</v>
      </c>
      <c r="E29" t="str">
        <f>REPT(" ",server.cfg!$E$1)</f>
        <v xml:space="preserve">                                                  </v>
      </c>
      <c r="F29" s="2" t="str">
        <f t="shared" si="2"/>
        <v>mp_tkpunish 0                                     // Will TK'ers and team damagers be punished in the next round?  {0=no,  1=yes} (Default: 1)</v>
      </c>
    </row>
    <row r="30" spans="1:6" x14ac:dyDescent="0.25">
      <c r="A30" s="4" t="s">
        <v>2053</v>
      </c>
      <c r="B30">
        <v>0</v>
      </c>
      <c r="C30">
        <f>IFERROR(VLOOKUP($A30,'cvars&amp;commands'!$C:$AB,2,FALSE),"")</f>
        <v>1</v>
      </c>
      <c r="D30" t="str">
        <f>IF(OR(A30="",A30="//"),"",IFERROR(VLOOKUP($A30,'cvars&amp;commands'!$C:$AB,6,FALSE),""))</f>
        <v>Kick idle/team-killing/team-damaging players</v>
      </c>
      <c r="E30" t="str">
        <f>REPT(" ",server.cfg!$E$1)</f>
        <v xml:space="preserve">                                                  </v>
      </c>
      <c r="F30" s="2" t="str">
        <f t="shared" si="2"/>
        <v>mp_autokick 0                                     // Kick idle/team-killing/team-damaging players (Default: 1)</v>
      </c>
    </row>
    <row r="31" spans="1:6" x14ac:dyDescent="0.25">
      <c r="A31" s="4"/>
      <c r="C31" t="str">
        <f>IFERROR(VLOOKUP($A31,'cvars&amp;commands'!$C:$AB,2,FALSE),"")</f>
        <v/>
      </c>
      <c r="D31" t="str">
        <f>IF(OR(A31="",A31="//"),"",IFERROR(VLOOKUP($A31,'cvars&amp;commands'!$C:$AB,6,FALSE),""))</f>
        <v/>
      </c>
      <c r="F31" s="2" t="str">
        <f t="shared" si="2"/>
        <v/>
      </c>
    </row>
    <row r="32" spans="1:6" x14ac:dyDescent="0.25">
      <c r="A32" s="4" t="s">
        <v>242</v>
      </c>
      <c r="B32">
        <v>16</v>
      </c>
      <c r="C32">
        <f>IFERROR(VLOOKUP($A32,'cvars&amp;commands'!$C:$AB,2,FALSE),"")</f>
        <v>10</v>
      </c>
      <c r="D32" t="str">
        <f>IF(OR(A32="",A32="//"),"",IFERROR(VLOOKUP($A32,'cvars&amp;commands'!$C:$AB,6,FALSE),""))</f>
        <v>Determines the total number of bots in the game.</v>
      </c>
      <c r="F32" s="2" t="str">
        <f t="shared" si="2"/>
        <v>bot_quota 16                                      // Determines the total number of bots in the game. (Default: 10)</v>
      </c>
    </row>
    <row r="33" spans="1:6" x14ac:dyDescent="0.25">
      <c r="A33" s="4" t="s">
        <v>244</v>
      </c>
      <c r="B33" t="s">
        <v>5269</v>
      </c>
      <c r="C33">
        <f>IFERROR(VLOOKUP($A33,'cvars&amp;commands'!$C:$AB,2,FALSE),"")</f>
        <v>0</v>
      </c>
      <c r="D33" t="str">
        <f>IF(OR(A33="",A33="//"),"",IFERROR(VLOOKUP($A33,'cvars&amp;commands'!$C:$AB,6,FALSE),""))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F33" s="2" t="str">
        <f t="shared" si="2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 (Default: 0)</v>
      </c>
    </row>
    <row r="34" spans="1:6" x14ac:dyDescent="0.25">
      <c r="A34" s="4" t="s">
        <v>205</v>
      </c>
      <c r="B34">
        <v>3</v>
      </c>
      <c r="C34">
        <f>IFERROR(VLOOKUP($A34,'cvars&amp;commands'!$C:$AB,2,FALSE),"")</f>
        <v>1</v>
      </c>
      <c r="D34" t="str">
        <f>IF(OR(A34="",A34="//"),"",IFERROR(VLOOKUP($A34,'cvars&amp;commands'!$C:$AB,6,FALSE),""))</f>
        <v>Defines the skill of bots joining the game.  Values are: 0=easy, 1=normal, 2=hard, 3=expert.</v>
      </c>
      <c r="F34" s="2" t="str">
        <f t="shared" si="2"/>
        <v>bot_difficulty 3                                  // Defines the skill of bots joining the game.  Values are: 0=easy, 1=normal, 2=hard, 3=expert. (Default: 1)</v>
      </c>
    </row>
    <row r="35" spans="1:6" x14ac:dyDescent="0.25">
      <c r="A35" s="4"/>
      <c r="D35" t="str">
        <f>IF(OR(A35="",A35="//"),"",IFERROR(VLOOKUP($A35,'cvars&amp;commands'!$C:$AB,6,FALSE),""))</f>
        <v/>
      </c>
      <c r="F35" s="2" t="str">
        <f t="shared" si="2"/>
        <v/>
      </c>
    </row>
    <row r="36" spans="1:6" x14ac:dyDescent="0.25">
      <c r="A36" t="s">
        <v>4768</v>
      </c>
      <c r="B36">
        <v>1</v>
      </c>
      <c r="C36">
        <f>VLOOKUP($A36,'cvars&amp;commands'!$C:$AB,2,FALSE)</f>
        <v>0</v>
      </c>
      <c r="D36" t="str">
        <f>IF(OR(A36="",A36="//"),"",IFERROR(VLOOKUP($A36,'cvars&amp;commands'!$C:$AB,6,FALSE),""))</f>
        <v>Required for kill cam. - Original Helptext: Activates GOTV on server (0=off;1=on;2=on when reserved)</v>
      </c>
      <c r="F36" s="2" t="str">
        <f t="shared" si="2"/>
        <v>tv_enable 1                                       // Required for kill cam. - Original Helptext: Activates GOTV on server (0=off;1=on;2=on when reserved) (Default: 0)</v>
      </c>
    </row>
    <row r="37" spans="1:6" x14ac:dyDescent="0.25">
      <c r="A37" t="s">
        <v>3936</v>
      </c>
      <c r="B37">
        <v>1</v>
      </c>
      <c r="C37">
        <f>IFERROR(VLOOKUP($A37,'cvars&amp;commands'!$C:$AB,2,FALSE),"")</f>
        <v>0</v>
      </c>
      <c r="D37" t="str">
        <f>IF(OR(A37="",A37="//"),"",IFERROR(VLOOKUP($A37,'cvars&amp;commands'!$C:$AB,6,FALSE),""))</f>
        <v>Enable Spectator Hltv Replay when killed by bot</v>
      </c>
      <c r="F37" s="2" t="str">
        <f t="shared" si="2"/>
        <v>spec_replay_bot 1                                 // Enable Spectator Hltv Replay when killed by bot (Default: 0)</v>
      </c>
    </row>
    <row r="38" spans="1:6" x14ac:dyDescent="0.25">
      <c r="A38" t="s">
        <v>3942</v>
      </c>
      <c r="B38">
        <v>1</v>
      </c>
      <c r="C38">
        <f>IFERROR(VLOOKUP($A38,'cvars&amp;commands'!$C:$AB,2,FALSE),"")</f>
        <v>1</v>
      </c>
      <c r="D38" t="str">
        <f>IF(OR(A38="",A38="//"),"",IFERROR(VLOOKUP($A38,'cvars&amp;commands'!$C:$AB,6,FALSE),""))</f>
        <v>Enable Killer Replay, requires hltv server running (0:off, 1:default, 2:force)</v>
      </c>
      <c r="F38" s="2" t="str">
        <f t="shared" si="2"/>
        <v>spec_replay_enable 1                              // Enable Killer Replay, requires hltv server running (0:off, 1:default, 2:force) (Default: 1)</v>
      </c>
    </row>
    <row r="39" spans="1:6" x14ac:dyDescent="0.25">
      <c r="F39" s="2" t="str">
        <f t="shared" si="2"/>
        <v/>
      </c>
    </row>
  </sheetData>
  <conditionalFormatting sqref="C3:D3 C6:D10 C39:D39 C35:C38">
    <cfRule type="expression" dxfId="12" priority="19">
      <formula>_xlfn.ISFORMULA(C3)</formula>
    </cfRule>
  </conditionalFormatting>
  <conditionalFormatting sqref="C4:D4">
    <cfRule type="expression" dxfId="11" priority="16">
      <formula>_xlfn.ISFORMULA(C4)</formula>
    </cfRule>
  </conditionalFormatting>
  <conditionalFormatting sqref="C1:D1">
    <cfRule type="expression" dxfId="10" priority="15">
      <formula>_xlfn.ISFORMULA(C1)</formula>
    </cfRule>
  </conditionalFormatting>
  <conditionalFormatting sqref="A22:A28">
    <cfRule type="duplicateValues" dxfId="9" priority="13"/>
  </conditionalFormatting>
  <conditionalFormatting sqref="A19:A20">
    <cfRule type="duplicateValues" dxfId="8" priority="10"/>
  </conditionalFormatting>
  <conditionalFormatting sqref="C13:C15 C17:C34">
    <cfRule type="expression" dxfId="7" priority="9">
      <formula>_xlfn.ISFORMULA(C13)</formula>
    </cfRule>
  </conditionalFormatting>
  <conditionalFormatting sqref="A36">
    <cfRule type="duplicateValues" dxfId="6" priority="7"/>
  </conditionalFormatting>
  <conditionalFormatting sqref="C16">
    <cfRule type="expression" dxfId="5" priority="5">
      <formula>_xlfn.ISFORMULA(C16)</formula>
    </cfRule>
  </conditionalFormatting>
  <conditionalFormatting sqref="C11">
    <cfRule type="expression" dxfId="4" priority="4">
      <formula>_xlfn.ISFORMULA(C11)</formula>
    </cfRule>
  </conditionalFormatting>
  <conditionalFormatting sqref="D11">
    <cfRule type="expression" dxfId="3" priority="3">
      <formula>_xlfn.ISFORMULA(D11)</formula>
    </cfRule>
  </conditionalFormatting>
  <conditionalFormatting sqref="D13:D38">
    <cfRule type="expression" dxfId="2" priority="1">
      <formula>_xlfn.ISFORMULA(D13)</formula>
    </cfRule>
  </conditionalFormatting>
  <conditionalFormatting sqref="A37:A39">
    <cfRule type="duplicateValues" dxfId="1" priority="25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0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myComments</vt:lpstr>
      <vt:lpstr>autoexec.cfg</vt:lpstr>
      <vt:lpstr>server.cfg</vt:lpstr>
      <vt:lpstr>gamemode_casual_server.cfg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2021-02-12T20:52:12Z</dcterms:modified>
</cp:coreProperties>
</file>